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ounties" sheetId="2" state="visible" r:id="rId2"/>
    <sheet name="Progress" sheetId="3" state="visible" r:id="rId3"/>
    <sheet name="Reference" sheetId="4" state="visible" r:id="rId4"/>
    <sheet name="Sub-sector map" sheetId="5" state="visible" r:id="rId5"/>
  </sheets>
  <definedNames>
    <definedName name="_xlnm._FilterDatabase" localSheetId="1" hidden="1">'Counties'!$A$1:$V$160</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001A1A1A"/>
      <sz val="16"/>
    </font>
    <font>
      <name val="Arial"/>
      <i val="1"/>
      <color rgb="005C6672"/>
      <sz val="10.5"/>
    </font>
    <font>
      <name val="Arial"/>
      <color rgb="001A1A1A"/>
      <sz val="10.5"/>
    </font>
    <font>
      <name val="Arial"/>
      <b val="1"/>
      <color rgb="00B4232A"/>
      <sz val="11.5"/>
    </font>
    <font>
      <name val="Arial"/>
      <b val="1"/>
      <color rgb="00FFFFFF"/>
      <sz val="10"/>
    </font>
    <font>
      <name val="Arial"/>
      <b val="1"/>
      <sz val="10"/>
    </font>
    <font>
      <name val="Arial"/>
      <color rgb="005C6672"/>
      <sz val="10"/>
    </font>
    <font>
      <name val="Arial"/>
      <sz val="10"/>
    </font>
    <font>
      <name val="Arial"/>
      <b val="1"/>
      <color rgb="001A1A1A"/>
      <sz val="15"/>
    </font>
    <font>
      <name val="Arial"/>
      <i val="1"/>
      <color rgb="005C6672"/>
      <sz val="10"/>
    </font>
  </fonts>
  <fills count="5">
    <fill>
      <patternFill/>
    </fill>
    <fill>
      <patternFill patternType="gray125"/>
    </fill>
    <fill>
      <patternFill patternType="solid">
        <fgColor rgb="001F3A5F"/>
      </patternFill>
    </fill>
    <fill>
      <patternFill patternType="solid">
        <fgColor rgb="00EDF0F3"/>
      </patternFill>
    </fill>
    <fill>
      <patternFill patternType="solid">
        <fgColor rgb="00FFF6D9"/>
      </patternFill>
    </fill>
  </fills>
  <borders count="2">
    <border>
      <left/>
      <right/>
      <top/>
      <bottom/>
      <diagonal/>
    </border>
    <border>
      <left style="thin">
        <color rgb="00C9CFD6"/>
      </left>
      <right style="thin">
        <color rgb="00C9CFD6"/>
      </right>
      <top style="thin">
        <color rgb="00C9CFD6"/>
      </top>
      <bottom style="thin">
        <color rgb="00C9CFD6"/>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6" fillId="3" borderId="1" pivotButton="0" quotePrefix="0" xfId="0"/>
    <xf numFmtId="0" fontId="7" fillId="3" borderId="1" pivotButton="0" quotePrefix="0" xfId="0"/>
    <xf numFmtId="0" fontId="8" fillId="0" borderId="1" applyAlignment="1" pivotButton="0" quotePrefix="0" xfId="0">
      <alignment vertical="top"/>
    </xf>
    <xf numFmtId="0" fontId="8" fillId="4" borderId="1" applyAlignment="1" pivotButton="0" quotePrefix="0" xfId="0">
      <alignment vertical="top"/>
    </xf>
    <xf numFmtId="0" fontId="9" fillId="0" borderId="0" pivotButton="0" quotePrefix="0" xfId="0"/>
    <xf numFmtId="0" fontId="10" fillId="0" borderId="0" pivotButton="0" quotePrefix="0" xfId="0"/>
    <xf numFmtId="0" fontId="8" fillId="0" borderId="0" pivotButton="0" quotePrefix="0" xfId="0"/>
    <xf numFmtId="3" fontId="6" fillId="0" borderId="0" applyAlignment="1" pivotButton="0" quotePrefix="0" xfId="0">
      <alignment horizontal="right"/>
    </xf>
    <xf numFmtId="164" fontId="6" fillId="0" borderId="0" applyAlignment="1" pivotButton="0" quotePrefix="0" xfId="0">
      <alignment horizontal="right"/>
    </xf>
    <xf numFmtId="0" fontId="6" fillId="0" borderId="0" pivotButton="0" quotePrefix="0" xfId="0"/>
    <xf numFmtId="0" fontId="8"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4232A"/>
    <outlinePr summaryBelow="1" summaryRight="1"/>
    <pageSetUpPr/>
  </sheetPr>
  <dimension ref="A1:A26"/>
  <sheetViews>
    <sheetView showGridLines="0" workbookViewId="0">
      <selection activeCell="A1" sqref="A1"/>
    </sheetView>
  </sheetViews>
  <sheetFormatPr baseColWidth="8" defaultRowHeight="15"/>
  <cols>
    <col width="112" customWidth="1" min="1" max="1"/>
  </cols>
  <sheetData>
    <row r="1" ht="24" customHeight="1">
      <c r="A1" s="1" t="inlineStr">
        <is>
          <t>County Target Industry Template</t>
        </is>
      </c>
    </row>
    <row r="2">
      <c r="A2" s="2" t="inlineStr">
        <is>
          <t>Statewide Pathway Explorer — target industries for all 159 Georgia counties</t>
        </is>
      </c>
    </row>
    <row r="3" ht="15" customHeight="1">
      <c r="A3" s="3" t="inlineStr"/>
    </row>
    <row r="4" ht="20" customHeight="1">
      <c r="A4" s="4" t="inlineStr">
        <is>
          <t>What this is for</t>
        </is>
      </c>
    </row>
    <row r="5" ht="45" customHeight="1">
      <c r="A5" s="3" t="inlineStr">
        <is>
          <t>One row per county, all 159 pre-loaded. For each county, record up to three target industries in priority order, plus where that information came from. This drives which programs appear on each county page, so the source column matters as much as the answer.</t>
        </is>
      </c>
    </row>
    <row r="6" ht="15" customHeight="1">
      <c r="A6" s="3" t="inlineStr"/>
    </row>
    <row r="7" ht="20" customHeight="1">
      <c r="A7" s="4" t="inlineStr">
        <is>
          <t>Start here</t>
        </is>
      </c>
    </row>
    <row r="8" ht="30" customHeight="1">
      <c r="A8" s="3" t="inlineStr">
        <is>
          <t>Fill the four showcase counties first -- Forsyth, Jackson, Houston, Ware -- then work outward by region. Those four already have draft values you should verify with the EDA directly.</t>
        </is>
      </c>
    </row>
    <row r="9" ht="15" customHeight="1">
      <c r="A9" s="3" t="inlineStr"/>
    </row>
    <row r="10" ht="20" customHeight="1">
      <c r="A10" s="4" t="inlineStr">
        <is>
          <t>Where to look, in order of preference</t>
        </is>
      </c>
    </row>
    <row r="11" ht="15" customHeight="1">
      <c r="A11" s="3" t="inlineStr">
        <is>
          <t>1. The county or regional target industry study (most authoritative -- ask the EDA for the PDF).</t>
        </is>
      </c>
    </row>
    <row r="12" ht="15" customHeight="1">
      <c r="A12" s="3" t="inlineStr">
        <is>
          <t>2. The EDA's own website, usually an 'Industries' or 'Target Sectors' page.</t>
        </is>
      </c>
    </row>
    <row r="13" ht="15" customHeight="1">
      <c r="A13" s="3" t="inlineStr">
        <is>
          <t>3. The Regional Commission's comprehensive economic development strategy (CEDS).</t>
        </is>
      </c>
    </row>
    <row r="14" ht="15" customHeight="1">
      <c r="A14" s="3" t="inlineStr">
        <is>
          <t>4. Georgia Department of Economic Development regional materials.</t>
        </is>
      </c>
    </row>
    <row r="15" ht="15" customHeight="1">
      <c r="A15" s="3" t="inlineStr">
        <is>
          <t>5. Existing major employers, as a last resort -- mark Confidence as Low if this is all you have.</t>
        </is>
      </c>
    </row>
    <row r="16" ht="15" customHeight="1">
      <c r="A16" s="3" t="inlineStr"/>
    </row>
    <row r="17" ht="20" customHeight="1">
      <c r="A17" s="4" t="inlineStr">
        <is>
          <t>Rules</t>
        </is>
      </c>
    </row>
    <row r="18" ht="45" customHeight="1">
      <c r="A18" s="3" t="inlineStr">
        <is>
          <t>Only use the five industries in the dropdown. If a county's stated target is something else entirely (agriculture, tourism, film, logistics as its own sector), record it in Notes rather than forcing it into one of the five. A pattern of counties that do not fit is itself a finding worth knowing about.</t>
        </is>
      </c>
    </row>
    <row r="19" ht="30" customHeight="1">
      <c r="A19" s="3" t="inlineStr">
        <is>
          <t>Every filled row needs a source. A target industry with no source cannot be published, because the site shows provenance publicly.</t>
        </is>
      </c>
    </row>
    <row r="20" ht="15" customHeight="1">
      <c r="A20" s="3" t="inlineStr">
        <is>
          <t>Set Confidence honestly. Low confidence is useful -- it tells us which counties to ask about first.</t>
        </is>
      </c>
    </row>
    <row r="21" ht="15" customHeight="1">
      <c r="A21" s="3" t="inlineStr"/>
    </row>
    <row r="22" ht="20" customHeight="1">
      <c r="A22" s="4" t="inlineStr">
        <is>
          <t>Do not edit</t>
        </is>
      </c>
    </row>
    <row r="23" ht="15" customHeight="1">
      <c r="A23" s="3" t="inlineStr">
        <is>
          <t>County name, Slug, and QC check are calculated or fixed. Everything else is yours to fill.</t>
        </is>
      </c>
    </row>
    <row r="24" ht="15" customHeight="1">
      <c r="A24" s="3" t="inlineStr"/>
    </row>
    <row r="25" ht="20" customHeight="1">
      <c r="A25" s="4" t="inlineStr">
        <is>
          <t>Note on the pre-filled showcase counties</t>
        </is>
      </c>
    </row>
    <row r="26" ht="30" customHeight="1">
      <c r="A26" s="3" t="inlineStr">
        <is>
          <t>The four showcase rows are marked DRAFT and are starting points for your EDA conversations, not verified facts. Replace the source with the real document once you have it, then change Confidence to High.</t>
        </is>
      </c>
    </row>
  </sheetData>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V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9" customWidth="1" min="3" max="3"/>
    <col width="16" customWidth="1" min="4" max="4"/>
    <col width="26" customWidth="1" min="5" max="5"/>
    <col width="34" customWidth="1" min="6" max="6"/>
    <col width="24" customWidth="1" min="7" max="7"/>
    <col width="25" customWidth="1" min="8" max="8"/>
    <col width="24" customWidth="1" min="9" max="9"/>
    <col width="25" customWidth="1" min="10" max="10"/>
    <col width="24" customWidth="1" min="11" max="11"/>
    <col width="25" customWidth="1" min="12" max="12"/>
    <col width="32" customWidth="1" min="13" max="13"/>
    <col width="26" customWidth="1" min="14" max="14"/>
    <col width="12" customWidth="1" min="15" max="15"/>
    <col width="12" customWidth="1" min="16" max="16"/>
    <col width="20" customWidth="1" min="17" max="17"/>
    <col width="24" customWidth="1" min="18" max="18"/>
    <col width="14" customWidth="1" min="19" max="19"/>
    <col width="15" customWidth="1" min="20" max="20"/>
    <col width="46" customWidth="1" min="21" max="21"/>
    <col width="18" customWidth="1" min="22" max="22"/>
  </cols>
  <sheetData>
    <row r="1" ht="34" customHeight="1">
      <c r="A1" s="5" t="inlineStr">
        <is>
          <t>County</t>
        </is>
      </c>
      <c r="B1" s="5" t="inlineStr">
        <is>
          <t>Slug</t>
        </is>
      </c>
      <c r="C1" s="5" t="inlineStr">
        <is>
          <t>FIPS</t>
        </is>
      </c>
      <c r="D1" s="5" t="inlineStr">
        <is>
          <t>County seat</t>
        </is>
      </c>
      <c r="E1" s="5" t="inlineStr">
        <is>
          <t>Region</t>
        </is>
      </c>
      <c r="F1" s="5" t="inlineStr">
        <is>
          <t>EDA / organization</t>
        </is>
      </c>
      <c r="G1" s="5" t="inlineStr">
        <is>
          <t>Target industry 1</t>
        </is>
      </c>
      <c r="H1" s="5" t="inlineStr">
        <is>
          <t>Sub-sector 1</t>
        </is>
      </c>
      <c r="I1" s="5" t="inlineStr">
        <is>
          <t>Target industry 2</t>
        </is>
      </c>
      <c r="J1" s="5" t="inlineStr">
        <is>
          <t>Sub-sector 2</t>
        </is>
      </c>
      <c r="K1" s="5" t="inlineStr">
        <is>
          <t>Target industry 3</t>
        </is>
      </c>
      <c r="L1" s="5" t="inlineStr">
        <is>
          <t>Sub-sector 3</t>
        </is>
      </c>
      <c r="M1" s="5" t="inlineStr">
        <is>
          <t>Source document</t>
        </is>
      </c>
      <c r="N1" s="5" t="inlineStr">
        <is>
          <t>Source URL</t>
        </is>
      </c>
      <c r="O1" s="5" t="inlineStr">
        <is>
          <t>Source year</t>
        </is>
      </c>
      <c r="P1" s="5" t="inlineStr">
        <is>
          <t>Confidence</t>
        </is>
      </c>
      <c r="Q1" s="5" t="inlineStr">
        <is>
          <t>EDA contact name</t>
        </is>
      </c>
      <c r="R1" s="5" t="inlineStr">
        <is>
          <t>EDA contact email</t>
        </is>
      </c>
      <c r="S1" s="5" t="inlineStr">
        <is>
          <t>Researched by</t>
        </is>
      </c>
      <c r="T1" s="5" t="inlineStr">
        <is>
          <t>Researched date</t>
        </is>
      </c>
      <c r="U1" s="5" t="inlineStr">
        <is>
          <t>Notes</t>
        </is>
      </c>
      <c r="V1" s="5" t="inlineStr">
        <is>
          <t>QC check</t>
        </is>
      </c>
    </row>
    <row r="2">
      <c r="A2" s="6" t="inlineStr">
        <is>
          <t>Appling</t>
        </is>
      </c>
      <c r="B2" s="7">
        <f>LOWER(SUBSTITUTE(A2," ","-"))</f>
        <v/>
      </c>
      <c r="C2" s="8" t="n"/>
      <c r="D2" s="8" t="n"/>
      <c r="E2" s="8" t="n"/>
      <c r="F2" s="8" t="n"/>
      <c r="G2" s="8" t="n"/>
      <c r="H2" s="8" t="n"/>
      <c r="I2" s="8" t="n"/>
      <c r="J2" s="8" t="n"/>
      <c r="K2" s="8" t="n"/>
      <c r="L2" s="8" t="n"/>
      <c r="M2" s="8" t="n"/>
      <c r="N2" s="8" t="n"/>
      <c r="O2" s="8" t="n"/>
      <c r="P2" s="8" t="n"/>
      <c r="Q2" s="8" t="n"/>
      <c r="R2" s="8" t="n"/>
      <c r="S2" s="8" t="n"/>
      <c r="T2" s="8" t="n"/>
      <c r="U2" s="8" t="n"/>
      <c r="V2" s="6">
        <f>IF(ISBLANK(G2),"Not started",IF(ISBLANK(M2),"Missing source",IF(LEFT(M2,5)="DRAFT","Draft - verify with EDA",IF(ISBLANK(P2),"Missing confidence",IF(ISBLANK(H2),"Missing sub-sector","OK")))))</f>
        <v/>
      </c>
    </row>
    <row r="3">
      <c r="A3" s="6" t="inlineStr">
        <is>
          <t>Atkinson</t>
        </is>
      </c>
      <c r="B3" s="7">
        <f>LOWER(SUBSTITUTE(A3," ","-"))</f>
        <v/>
      </c>
      <c r="C3" s="8" t="n"/>
      <c r="D3" s="8" t="n"/>
      <c r="E3" s="8" t="n"/>
      <c r="F3" s="8" t="n"/>
      <c r="G3" s="8" t="n"/>
      <c r="H3" s="8" t="n"/>
      <c r="I3" s="8" t="n"/>
      <c r="J3" s="8" t="n"/>
      <c r="K3" s="8" t="n"/>
      <c r="L3" s="8" t="n"/>
      <c r="M3" s="8" t="n"/>
      <c r="N3" s="8" t="n"/>
      <c r="O3" s="8" t="n"/>
      <c r="P3" s="8" t="n"/>
      <c r="Q3" s="8" t="n"/>
      <c r="R3" s="8" t="n"/>
      <c r="S3" s="8" t="n"/>
      <c r="T3" s="8" t="n"/>
      <c r="U3" s="8" t="n"/>
      <c r="V3" s="6">
        <f>IF(ISBLANK(G3),"Not started",IF(ISBLANK(M3),"Missing source",IF(LEFT(M3,5)="DRAFT","Draft - verify with EDA",IF(ISBLANK(P3),"Missing confidence",IF(ISBLANK(H3),"Missing sub-sector","OK")))))</f>
        <v/>
      </c>
    </row>
    <row r="4">
      <c r="A4" s="6" t="inlineStr">
        <is>
          <t>Bacon</t>
        </is>
      </c>
      <c r="B4" s="7">
        <f>LOWER(SUBSTITUTE(A4," ","-"))</f>
        <v/>
      </c>
      <c r="C4" s="8" t="n"/>
      <c r="D4" s="8" t="n"/>
      <c r="E4" s="8" t="n"/>
      <c r="F4" s="8" t="n"/>
      <c r="G4" s="8" t="n"/>
      <c r="H4" s="8" t="n"/>
      <c r="I4" s="8" t="n"/>
      <c r="J4" s="8" t="n"/>
      <c r="K4" s="8" t="n"/>
      <c r="L4" s="8" t="n"/>
      <c r="M4" s="8" t="n"/>
      <c r="N4" s="8" t="n"/>
      <c r="O4" s="8" t="n"/>
      <c r="P4" s="8" t="n"/>
      <c r="Q4" s="8" t="n"/>
      <c r="R4" s="8" t="n"/>
      <c r="S4" s="8" t="n"/>
      <c r="T4" s="8" t="n"/>
      <c r="U4" s="8" t="n"/>
      <c r="V4" s="6">
        <f>IF(ISBLANK(G4),"Not started",IF(ISBLANK(M4),"Missing source",IF(LEFT(M4,5)="DRAFT","Draft - verify with EDA",IF(ISBLANK(P4),"Missing confidence",IF(ISBLANK(H4),"Missing sub-sector","OK")))))</f>
        <v/>
      </c>
    </row>
    <row r="5">
      <c r="A5" s="6" t="inlineStr">
        <is>
          <t>Baker</t>
        </is>
      </c>
      <c r="B5" s="7">
        <f>LOWER(SUBSTITUTE(A5," ","-"))</f>
        <v/>
      </c>
      <c r="C5" s="8" t="n"/>
      <c r="D5" s="8" t="n"/>
      <c r="E5" s="8" t="n"/>
      <c r="F5" s="8" t="n"/>
      <c r="G5" s="8" t="n"/>
      <c r="H5" s="8" t="n"/>
      <c r="I5" s="8" t="n"/>
      <c r="J5" s="8" t="n"/>
      <c r="K5" s="8" t="n"/>
      <c r="L5" s="8" t="n"/>
      <c r="M5" s="8" t="n"/>
      <c r="N5" s="8" t="n"/>
      <c r="O5" s="8" t="n"/>
      <c r="P5" s="8" t="n"/>
      <c r="Q5" s="8" t="n"/>
      <c r="R5" s="8" t="n"/>
      <c r="S5" s="8" t="n"/>
      <c r="T5" s="8" t="n"/>
      <c r="U5" s="8" t="n"/>
      <c r="V5" s="6">
        <f>IF(ISBLANK(G5),"Not started",IF(ISBLANK(M5),"Missing source",IF(LEFT(M5,5)="DRAFT","Draft - verify with EDA",IF(ISBLANK(P5),"Missing confidence",IF(ISBLANK(H5),"Missing sub-sector","OK")))))</f>
        <v/>
      </c>
    </row>
    <row r="6">
      <c r="A6" s="6" t="inlineStr">
        <is>
          <t>Baldwin</t>
        </is>
      </c>
      <c r="B6" s="7">
        <f>LOWER(SUBSTITUTE(A6," ","-"))</f>
        <v/>
      </c>
      <c r="C6" s="8" t="n"/>
      <c r="D6" s="8" t="n"/>
      <c r="E6" s="8" t="n"/>
      <c r="F6" s="8" t="n"/>
      <c r="G6" s="8" t="n"/>
      <c r="H6" s="8" t="n"/>
      <c r="I6" s="8" t="n"/>
      <c r="J6" s="8" t="n"/>
      <c r="K6" s="8" t="n"/>
      <c r="L6" s="8" t="n"/>
      <c r="M6" s="8" t="n"/>
      <c r="N6" s="8" t="n"/>
      <c r="O6" s="8" t="n"/>
      <c r="P6" s="8" t="n"/>
      <c r="Q6" s="8" t="n"/>
      <c r="R6" s="8" t="n"/>
      <c r="S6" s="8" t="n"/>
      <c r="T6" s="8" t="n"/>
      <c r="U6" s="8" t="n"/>
      <c r="V6" s="6">
        <f>IF(ISBLANK(G6),"Not started",IF(ISBLANK(M6),"Missing source",IF(LEFT(M6,5)="DRAFT","Draft - verify with EDA",IF(ISBLANK(P6),"Missing confidence",IF(ISBLANK(H6),"Missing sub-sector","OK")))))</f>
        <v/>
      </c>
    </row>
    <row r="7">
      <c r="A7" s="6" t="inlineStr">
        <is>
          <t>Banks</t>
        </is>
      </c>
      <c r="B7" s="7">
        <f>LOWER(SUBSTITUTE(A7," ","-"))</f>
        <v/>
      </c>
      <c r="C7" s="8" t="n"/>
      <c r="D7" s="8" t="n"/>
      <c r="E7" s="8" t="n"/>
      <c r="F7" s="8" t="n"/>
      <c r="G7" s="8" t="n"/>
      <c r="H7" s="8" t="n"/>
      <c r="I7" s="8" t="n"/>
      <c r="J7" s="8" t="n"/>
      <c r="K7" s="8" t="n"/>
      <c r="L7" s="8" t="n"/>
      <c r="M7" s="8" t="n"/>
      <c r="N7" s="8" t="n"/>
      <c r="O7" s="8" t="n"/>
      <c r="P7" s="8" t="n"/>
      <c r="Q7" s="8" t="n"/>
      <c r="R7" s="8" t="n"/>
      <c r="S7" s="8" t="n"/>
      <c r="T7" s="8" t="n"/>
      <c r="U7" s="8" t="n"/>
      <c r="V7" s="6">
        <f>IF(ISBLANK(G7),"Not started",IF(ISBLANK(M7),"Missing source",IF(LEFT(M7,5)="DRAFT","Draft - verify with EDA",IF(ISBLANK(P7),"Missing confidence",IF(ISBLANK(H7),"Missing sub-sector","OK")))))</f>
        <v/>
      </c>
    </row>
    <row r="8">
      <c r="A8" s="6" t="inlineStr">
        <is>
          <t>Barrow</t>
        </is>
      </c>
      <c r="B8" s="7">
        <f>LOWER(SUBSTITUTE(A8," ","-"))</f>
        <v/>
      </c>
      <c r="C8" s="8" t="n"/>
      <c r="D8" s="8" t="n"/>
      <c r="E8" s="8" t="n"/>
      <c r="F8" s="8" t="n"/>
      <c r="G8" s="8" t="n"/>
      <c r="H8" s="8" t="n"/>
      <c r="I8" s="8" t="n"/>
      <c r="J8" s="8" t="n"/>
      <c r="K8" s="8" t="n"/>
      <c r="L8" s="8" t="n"/>
      <c r="M8" s="8" t="n"/>
      <c r="N8" s="8" t="n"/>
      <c r="O8" s="8" t="n"/>
      <c r="P8" s="8" t="n"/>
      <c r="Q8" s="8" t="n"/>
      <c r="R8" s="8" t="n"/>
      <c r="S8" s="8" t="n"/>
      <c r="T8" s="8" t="n"/>
      <c r="U8" s="8" t="n"/>
      <c r="V8" s="6">
        <f>IF(ISBLANK(G8),"Not started",IF(ISBLANK(M8),"Missing source",IF(LEFT(M8,5)="DRAFT","Draft - verify with EDA",IF(ISBLANK(P8),"Missing confidence",IF(ISBLANK(H8),"Missing sub-sector","OK")))))</f>
        <v/>
      </c>
    </row>
    <row r="9">
      <c r="A9" s="6" t="inlineStr">
        <is>
          <t>Bartow</t>
        </is>
      </c>
      <c r="B9" s="7">
        <f>LOWER(SUBSTITUTE(A9," ","-"))</f>
        <v/>
      </c>
      <c r="C9" s="8" t="n"/>
      <c r="D9" s="8" t="n"/>
      <c r="E9" s="8" t="n"/>
      <c r="F9" s="8" t="n"/>
      <c r="G9" s="8" t="n"/>
      <c r="H9" s="8" t="n"/>
      <c r="I9" s="8" t="n"/>
      <c r="J9" s="8" t="n"/>
      <c r="K9" s="8" t="n"/>
      <c r="L9" s="8" t="n"/>
      <c r="M9" s="8" t="n"/>
      <c r="N9" s="8" t="n"/>
      <c r="O9" s="8" t="n"/>
      <c r="P9" s="8" t="n"/>
      <c r="Q9" s="8" t="n"/>
      <c r="R9" s="8" t="n"/>
      <c r="S9" s="8" t="n"/>
      <c r="T9" s="8" t="n"/>
      <c r="U9" s="8" t="n"/>
      <c r="V9" s="6">
        <f>IF(ISBLANK(G9),"Not started",IF(ISBLANK(M9),"Missing source",IF(LEFT(M9,5)="DRAFT","Draft - verify with EDA",IF(ISBLANK(P9),"Missing confidence",IF(ISBLANK(H9),"Missing sub-sector","OK")))))</f>
        <v/>
      </c>
    </row>
    <row r="10">
      <c r="A10" s="6" t="inlineStr">
        <is>
          <t>Ben Hill</t>
        </is>
      </c>
      <c r="B10" s="7">
        <f>LOWER(SUBSTITUTE(A10," ","-"))</f>
        <v/>
      </c>
      <c r="C10" s="8" t="n"/>
      <c r="D10" s="8" t="n"/>
      <c r="E10" s="8" t="n"/>
      <c r="F10" s="8" t="n"/>
      <c r="G10" s="8" t="n"/>
      <c r="H10" s="8" t="n"/>
      <c r="I10" s="8" t="n"/>
      <c r="J10" s="8" t="n"/>
      <c r="K10" s="8" t="n"/>
      <c r="L10" s="8" t="n"/>
      <c r="M10" s="8" t="n"/>
      <c r="N10" s="8" t="n"/>
      <c r="O10" s="8" t="n"/>
      <c r="P10" s="8" t="n"/>
      <c r="Q10" s="8" t="n"/>
      <c r="R10" s="8" t="n"/>
      <c r="S10" s="8" t="n"/>
      <c r="T10" s="8" t="n"/>
      <c r="U10" s="8" t="n"/>
      <c r="V10" s="6">
        <f>IF(ISBLANK(G10),"Not started",IF(ISBLANK(M10),"Missing source",IF(LEFT(M10,5)="DRAFT","Draft - verify with EDA",IF(ISBLANK(P10),"Missing confidence",IF(ISBLANK(H10),"Missing sub-sector","OK")))))</f>
        <v/>
      </c>
    </row>
    <row r="11">
      <c r="A11" s="6" t="inlineStr">
        <is>
          <t>Berrien</t>
        </is>
      </c>
      <c r="B11" s="7">
        <f>LOWER(SUBSTITUTE(A11," ","-"))</f>
        <v/>
      </c>
      <c r="C11" s="8" t="n"/>
      <c r="D11" s="8" t="n"/>
      <c r="E11" s="8" t="n"/>
      <c r="F11" s="8" t="n"/>
      <c r="G11" s="8" t="n"/>
      <c r="H11" s="8" t="n"/>
      <c r="I11" s="8" t="n"/>
      <c r="J11" s="8" t="n"/>
      <c r="K11" s="8" t="n"/>
      <c r="L11" s="8" t="n"/>
      <c r="M11" s="8" t="n"/>
      <c r="N11" s="8" t="n"/>
      <c r="O11" s="8" t="n"/>
      <c r="P11" s="8" t="n"/>
      <c r="Q11" s="8" t="n"/>
      <c r="R11" s="8" t="n"/>
      <c r="S11" s="8" t="n"/>
      <c r="T11" s="8" t="n"/>
      <c r="U11" s="8" t="n"/>
      <c r="V11" s="6">
        <f>IF(ISBLANK(G11),"Not started",IF(ISBLANK(M11),"Missing source",IF(LEFT(M11,5)="DRAFT","Draft - verify with EDA",IF(ISBLANK(P11),"Missing confidence",IF(ISBLANK(H11),"Missing sub-sector","OK")))))</f>
        <v/>
      </c>
    </row>
    <row r="12">
      <c r="A12" s="6" t="inlineStr">
        <is>
          <t>Bibb</t>
        </is>
      </c>
      <c r="B12" s="7">
        <f>LOWER(SUBSTITUTE(A12," ","-"))</f>
        <v/>
      </c>
      <c r="C12" s="8" t="n"/>
      <c r="D12" s="8" t="n"/>
      <c r="E12" s="8" t="n"/>
      <c r="F12" s="8" t="n"/>
      <c r="G12" s="8" t="n"/>
      <c r="H12" s="8" t="n"/>
      <c r="I12" s="8" t="n"/>
      <c r="J12" s="8" t="n"/>
      <c r="K12" s="8" t="n"/>
      <c r="L12" s="8" t="n"/>
      <c r="M12" s="8" t="n"/>
      <c r="N12" s="8" t="n"/>
      <c r="O12" s="8" t="n"/>
      <c r="P12" s="8" t="n"/>
      <c r="Q12" s="8" t="n"/>
      <c r="R12" s="8" t="n"/>
      <c r="S12" s="8" t="n"/>
      <c r="T12" s="8" t="n"/>
      <c r="U12" s="8" t="n"/>
      <c r="V12" s="6">
        <f>IF(ISBLANK(G12),"Not started",IF(ISBLANK(M12),"Missing source",IF(LEFT(M12,5)="DRAFT","Draft - verify with EDA",IF(ISBLANK(P12),"Missing confidence",IF(ISBLANK(H12),"Missing sub-sector","OK")))))</f>
        <v/>
      </c>
    </row>
    <row r="13">
      <c r="A13" s="6" t="inlineStr">
        <is>
          <t>Bleckley</t>
        </is>
      </c>
      <c r="B13" s="7">
        <f>LOWER(SUBSTITUTE(A13," ","-"))</f>
        <v/>
      </c>
      <c r="C13" s="8" t="n"/>
      <c r="D13" s="8" t="n"/>
      <c r="E13" s="8" t="n"/>
      <c r="F13" s="8" t="n"/>
      <c r="G13" s="8" t="n"/>
      <c r="H13" s="8" t="n"/>
      <c r="I13" s="8" t="n"/>
      <c r="J13" s="8" t="n"/>
      <c r="K13" s="8" t="n"/>
      <c r="L13" s="8" t="n"/>
      <c r="M13" s="8" t="n"/>
      <c r="N13" s="8" t="n"/>
      <c r="O13" s="8" t="n"/>
      <c r="P13" s="8" t="n"/>
      <c r="Q13" s="8" t="n"/>
      <c r="R13" s="8" t="n"/>
      <c r="S13" s="8" t="n"/>
      <c r="T13" s="8" t="n"/>
      <c r="U13" s="8" t="n"/>
      <c r="V13" s="6">
        <f>IF(ISBLANK(G13),"Not started",IF(ISBLANK(M13),"Missing source",IF(LEFT(M13,5)="DRAFT","Draft - verify with EDA",IF(ISBLANK(P13),"Missing confidence",IF(ISBLANK(H13),"Missing sub-sector","OK")))))</f>
        <v/>
      </c>
    </row>
    <row r="14">
      <c r="A14" s="6" t="inlineStr">
        <is>
          <t>Brantley</t>
        </is>
      </c>
      <c r="B14" s="7">
        <f>LOWER(SUBSTITUTE(A14," ","-"))</f>
        <v/>
      </c>
      <c r="C14" s="8" t="n"/>
      <c r="D14" s="8" t="n"/>
      <c r="E14" s="8" t="n"/>
      <c r="F14" s="8" t="n"/>
      <c r="G14" s="8" t="n"/>
      <c r="H14" s="8" t="n"/>
      <c r="I14" s="8" t="n"/>
      <c r="J14" s="8" t="n"/>
      <c r="K14" s="8" t="n"/>
      <c r="L14" s="8" t="n"/>
      <c r="M14" s="8" t="n"/>
      <c r="N14" s="8" t="n"/>
      <c r="O14" s="8" t="n"/>
      <c r="P14" s="8" t="n"/>
      <c r="Q14" s="8" t="n"/>
      <c r="R14" s="8" t="n"/>
      <c r="S14" s="8" t="n"/>
      <c r="T14" s="8" t="n"/>
      <c r="U14" s="8" t="n"/>
      <c r="V14" s="6">
        <f>IF(ISBLANK(G14),"Not started",IF(ISBLANK(M14),"Missing source",IF(LEFT(M14,5)="DRAFT","Draft - verify with EDA",IF(ISBLANK(P14),"Missing confidence",IF(ISBLANK(H14),"Missing sub-sector","OK")))))</f>
        <v/>
      </c>
    </row>
    <row r="15">
      <c r="A15" s="6" t="inlineStr">
        <is>
          <t>Brooks</t>
        </is>
      </c>
      <c r="B15" s="7">
        <f>LOWER(SUBSTITUTE(A15," ","-"))</f>
        <v/>
      </c>
      <c r="C15" s="8" t="n"/>
      <c r="D15" s="8" t="n"/>
      <c r="E15" s="8" t="n"/>
      <c r="F15" s="8" t="n"/>
      <c r="G15" s="8" t="n"/>
      <c r="H15" s="8" t="n"/>
      <c r="I15" s="8" t="n"/>
      <c r="J15" s="8" t="n"/>
      <c r="K15" s="8" t="n"/>
      <c r="L15" s="8" t="n"/>
      <c r="M15" s="8" t="n"/>
      <c r="N15" s="8" t="n"/>
      <c r="O15" s="8" t="n"/>
      <c r="P15" s="8" t="n"/>
      <c r="Q15" s="8" t="n"/>
      <c r="R15" s="8" t="n"/>
      <c r="S15" s="8" t="n"/>
      <c r="T15" s="8" t="n"/>
      <c r="U15" s="8" t="n"/>
      <c r="V15" s="6">
        <f>IF(ISBLANK(G15),"Not started",IF(ISBLANK(M15),"Missing source",IF(LEFT(M15,5)="DRAFT","Draft - verify with EDA",IF(ISBLANK(P15),"Missing confidence",IF(ISBLANK(H15),"Missing sub-sector","OK")))))</f>
        <v/>
      </c>
    </row>
    <row r="16">
      <c r="A16" s="6" t="inlineStr">
        <is>
          <t>Bryan</t>
        </is>
      </c>
      <c r="B16" s="7">
        <f>LOWER(SUBSTITUTE(A16," ","-"))</f>
        <v/>
      </c>
      <c r="C16" s="8" t="n"/>
      <c r="D16" s="8" t="n"/>
      <c r="E16" s="8" t="n"/>
      <c r="F16" s="8" t="n"/>
      <c r="G16" s="8" t="n"/>
      <c r="H16" s="8" t="n"/>
      <c r="I16" s="8" t="n"/>
      <c r="J16" s="8" t="n"/>
      <c r="K16" s="8" t="n"/>
      <c r="L16" s="8" t="n"/>
      <c r="M16" s="8" t="n"/>
      <c r="N16" s="8" t="n"/>
      <c r="O16" s="8" t="n"/>
      <c r="P16" s="8" t="n"/>
      <c r="Q16" s="8" t="n"/>
      <c r="R16" s="8" t="n"/>
      <c r="S16" s="8" t="n"/>
      <c r="T16" s="8" t="n"/>
      <c r="U16" s="8" t="n"/>
      <c r="V16" s="6">
        <f>IF(ISBLANK(G16),"Not started",IF(ISBLANK(M16),"Missing source",IF(LEFT(M16,5)="DRAFT","Draft - verify with EDA",IF(ISBLANK(P16),"Missing confidence",IF(ISBLANK(H16),"Missing sub-sector","OK")))))</f>
        <v/>
      </c>
    </row>
    <row r="17">
      <c r="A17" s="6" t="inlineStr">
        <is>
          <t>Bulloch</t>
        </is>
      </c>
      <c r="B17" s="7">
        <f>LOWER(SUBSTITUTE(A17," ","-"))</f>
        <v/>
      </c>
      <c r="C17" s="8" t="n"/>
      <c r="D17" s="8" t="n"/>
      <c r="E17" s="8" t="n"/>
      <c r="F17" s="8" t="n"/>
      <c r="G17" s="8" t="n"/>
      <c r="H17" s="8" t="n"/>
      <c r="I17" s="8" t="n"/>
      <c r="J17" s="8" t="n"/>
      <c r="K17" s="8" t="n"/>
      <c r="L17" s="8" t="n"/>
      <c r="M17" s="8" t="n"/>
      <c r="N17" s="8" t="n"/>
      <c r="O17" s="8" t="n"/>
      <c r="P17" s="8" t="n"/>
      <c r="Q17" s="8" t="n"/>
      <c r="R17" s="8" t="n"/>
      <c r="S17" s="8" t="n"/>
      <c r="T17" s="8" t="n"/>
      <c r="U17" s="8" t="n"/>
      <c r="V17" s="6">
        <f>IF(ISBLANK(G17),"Not started",IF(ISBLANK(M17),"Missing source",IF(LEFT(M17,5)="DRAFT","Draft - verify with EDA",IF(ISBLANK(P17),"Missing confidence",IF(ISBLANK(H17),"Missing sub-sector","OK")))))</f>
        <v/>
      </c>
    </row>
    <row r="18">
      <c r="A18" s="6" t="inlineStr">
        <is>
          <t>Burke</t>
        </is>
      </c>
      <c r="B18" s="7">
        <f>LOWER(SUBSTITUTE(A18," ","-"))</f>
        <v/>
      </c>
      <c r="C18" s="8" t="n"/>
      <c r="D18" s="8" t="n"/>
      <c r="E18" s="8" t="n"/>
      <c r="F18" s="8" t="n"/>
      <c r="G18" s="8" t="n"/>
      <c r="H18" s="8" t="n"/>
      <c r="I18" s="8" t="n"/>
      <c r="J18" s="8" t="n"/>
      <c r="K18" s="8" t="n"/>
      <c r="L18" s="8" t="n"/>
      <c r="M18" s="8" t="n"/>
      <c r="N18" s="8" t="n"/>
      <c r="O18" s="8" t="n"/>
      <c r="P18" s="8" t="n"/>
      <c r="Q18" s="8" t="n"/>
      <c r="R18" s="8" t="n"/>
      <c r="S18" s="8" t="n"/>
      <c r="T18" s="8" t="n"/>
      <c r="U18" s="8" t="n"/>
      <c r="V18" s="6">
        <f>IF(ISBLANK(G18),"Not started",IF(ISBLANK(M18),"Missing source",IF(LEFT(M18,5)="DRAFT","Draft - verify with EDA",IF(ISBLANK(P18),"Missing confidence",IF(ISBLANK(H18),"Missing sub-sector","OK")))))</f>
        <v/>
      </c>
    </row>
    <row r="19">
      <c r="A19" s="6" t="inlineStr">
        <is>
          <t>Butts</t>
        </is>
      </c>
      <c r="B19" s="7">
        <f>LOWER(SUBSTITUTE(A19," ","-"))</f>
        <v/>
      </c>
      <c r="C19" s="8" t="n"/>
      <c r="D19" s="8" t="n"/>
      <c r="E19" s="8" t="n"/>
      <c r="F19" s="8" t="n"/>
      <c r="G19" s="8" t="n"/>
      <c r="H19" s="8" t="n"/>
      <c r="I19" s="8" t="n"/>
      <c r="J19" s="8" t="n"/>
      <c r="K19" s="8" t="n"/>
      <c r="L19" s="8" t="n"/>
      <c r="M19" s="8" t="n"/>
      <c r="N19" s="8" t="n"/>
      <c r="O19" s="8" t="n"/>
      <c r="P19" s="8" t="n"/>
      <c r="Q19" s="8" t="n"/>
      <c r="R19" s="8" t="n"/>
      <c r="S19" s="8" t="n"/>
      <c r="T19" s="8" t="n"/>
      <c r="U19" s="8" t="n"/>
      <c r="V19" s="6">
        <f>IF(ISBLANK(G19),"Not started",IF(ISBLANK(M19),"Missing source",IF(LEFT(M19,5)="DRAFT","Draft - verify with EDA",IF(ISBLANK(P19),"Missing confidence",IF(ISBLANK(H19),"Missing sub-sector","OK")))))</f>
        <v/>
      </c>
    </row>
    <row r="20">
      <c r="A20" s="6" t="inlineStr">
        <is>
          <t>Calhoun</t>
        </is>
      </c>
      <c r="B20" s="7">
        <f>LOWER(SUBSTITUTE(A20," ","-"))</f>
        <v/>
      </c>
      <c r="C20" s="8" t="n"/>
      <c r="D20" s="8" t="n"/>
      <c r="E20" s="8" t="n"/>
      <c r="F20" s="8" t="n"/>
      <c r="G20" s="8" t="n"/>
      <c r="H20" s="8" t="n"/>
      <c r="I20" s="8" t="n"/>
      <c r="J20" s="8" t="n"/>
      <c r="K20" s="8" t="n"/>
      <c r="L20" s="8" t="n"/>
      <c r="M20" s="8" t="n"/>
      <c r="N20" s="8" t="n"/>
      <c r="O20" s="8" t="n"/>
      <c r="P20" s="8" t="n"/>
      <c r="Q20" s="8" t="n"/>
      <c r="R20" s="8" t="n"/>
      <c r="S20" s="8" t="n"/>
      <c r="T20" s="8" t="n"/>
      <c r="U20" s="8" t="n"/>
      <c r="V20" s="6">
        <f>IF(ISBLANK(G20),"Not started",IF(ISBLANK(M20),"Missing source",IF(LEFT(M20,5)="DRAFT","Draft - verify with EDA",IF(ISBLANK(P20),"Missing confidence",IF(ISBLANK(H20),"Missing sub-sector","OK")))))</f>
        <v/>
      </c>
    </row>
    <row r="21">
      <c r="A21" s="6" t="inlineStr">
        <is>
          <t>Camden</t>
        </is>
      </c>
      <c r="B21" s="7">
        <f>LOWER(SUBSTITUTE(A21," ","-"))</f>
        <v/>
      </c>
      <c r="C21" s="8" t="n"/>
      <c r="D21" s="8" t="n"/>
      <c r="E21" s="8" t="n"/>
      <c r="F21" s="8" t="n"/>
      <c r="G21" s="8" t="n"/>
      <c r="H21" s="8" t="n"/>
      <c r="I21" s="8" t="n"/>
      <c r="J21" s="8" t="n"/>
      <c r="K21" s="8" t="n"/>
      <c r="L21" s="8" t="n"/>
      <c r="M21" s="8" t="n"/>
      <c r="N21" s="8" t="n"/>
      <c r="O21" s="8" t="n"/>
      <c r="P21" s="8" t="n"/>
      <c r="Q21" s="8" t="n"/>
      <c r="R21" s="8" t="n"/>
      <c r="S21" s="8" t="n"/>
      <c r="T21" s="8" t="n"/>
      <c r="U21" s="8" t="n"/>
      <c r="V21" s="6">
        <f>IF(ISBLANK(G21),"Not started",IF(ISBLANK(M21),"Missing source",IF(LEFT(M21,5)="DRAFT","Draft - verify with EDA",IF(ISBLANK(P21),"Missing confidence",IF(ISBLANK(H21),"Missing sub-sector","OK")))))</f>
        <v/>
      </c>
    </row>
    <row r="22">
      <c r="A22" s="6" t="inlineStr">
        <is>
          <t>Candler</t>
        </is>
      </c>
      <c r="B22" s="7">
        <f>LOWER(SUBSTITUTE(A22," ","-"))</f>
        <v/>
      </c>
      <c r="C22" s="8" t="n"/>
      <c r="D22" s="8" t="n"/>
      <c r="E22" s="8" t="n"/>
      <c r="F22" s="8" t="n"/>
      <c r="G22" s="8" t="n"/>
      <c r="H22" s="8" t="n"/>
      <c r="I22" s="8" t="n"/>
      <c r="J22" s="8" t="n"/>
      <c r="K22" s="8" t="n"/>
      <c r="L22" s="8" t="n"/>
      <c r="M22" s="8" t="n"/>
      <c r="N22" s="8" t="n"/>
      <c r="O22" s="8" t="n"/>
      <c r="P22" s="8" t="n"/>
      <c r="Q22" s="8" t="n"/>
      <c r="R22" s="8" t="n"/>
      <c r="S22" s="8" t="n"/>
      <c r="T22" s="8" t="n"/>
      <c r="U22" s="8" t="n"/>
      <c r="V22" s="6">
        <f>IF(ISBLANK(G22),"Not started",IF(ISBLANK(M22),"Missing source",IF(LEFT(M22,5)="DRAFT","Draft - verify with EDA",IF(ISBLANK(P22),"Missing confidence",IF(ISBLANK(H22),"Missing sub-sector","OK")))))</f>
        <v/>
      </c>
    </row>
    <row r="23">
      <c r="A23" s="6" t="inlineStr">
        <is>
          <t>Carroll</t>
        </is>
      </c>
      <c r="B23" s="7">
        <f>LOWER(SUBSTITUTE(A23," ","-"))</f>
        <v/>
      </c>
      <c r="C23" s="8" t="n"/>
      <c r="D23" s="8" t="n"/>
      <c r="E23" s="8" t="n"/>
      <c r="F23" s="8" t="n"/>
      <c r="G23" s="8" t="n"/>
      <c r="H23" s="8" t="n"/>
      <c r="I23" s="8" t="n"/>
      <c r="J23" s="8" t="n"/>
      <c r="K23" s="8" t="n"/>
      <c r="L23" s="8" t="n"/>
      <c r="M23" s="8" t="n"/>
      <c r="N23" s="8" t="n"/>
      <c r="O23" s="8" t="n"/>
      <c r="P23" s="8" t="n"/>
      <c r="Q23" s="8" t="n"/>
      <c r="R23" s="8" t="n"/>
      <c r="S23" s="8" t="n"/>
      <c r="T23" s="8" t="n"/>
      <c r="U23" s="8" t="n"/>
      <c r="V23" s="6">
        <f>IF(ISBLANK(G23),"Not started",IF(ISBLANK(M23),"Missing source",IF(LEFT(M23,5)="DRAFT","Draft - verify with EDA",IF(ISBLANK(P23),"Missing confidence",IF(ISBLANK(H23),"Missing sub-sector","OK")))))</f>
        <v/>
      </c>
    </row>
    <row r="24">
      <c r="A24" s="6" t="inlineStr">
        <is>
          <t>Catoosa</t>
        </is>
      </c>
      <c r="B24" s="7">
        <f>LOWER(SUBSTITUTE(A24," ","-"))</f>
        <v/>
      </c>
      <c r="C24" s="8" t="n"/>
      <c r="D24" s="8" t="n"/>
      <c r="E24" s="8" t="n"/>
      <c r="F24" s="8" t="n"/>
      <c r="G24" s="8" t="n"/>
      <c r="H24" s="8" t="n"/>
      <c r="I24" s="8" t="n"/>
      <c r="J24" s="8" t="n"/>
      <c r="K24" s="8" t="n"/>
      <c r="L24" s="8" t="n"/>
      <c r="M24" s="8" t="n"/>
      <c r="N24" s="8" t="n"/>
      <c r="O24" s="8" t="n"/>
      <c r="P24" s="8" t="n"/>
      <c r="Q24" s="8" t="n"/>
      <c r="R24" s="8" t="n"/>
      <c r="S24" s="8" t="n"/>
      <c r="T24" s="8" t="n"/>
      <c r="U24" s="8" t="n"/>
      <c r="V24" s="6">
        <f>IF(ISBLANK(G24),"Not started",IF(ISBLANK(M24),"Missing source",IF(LEFT(M24,5)="DRAFT","Draft - verify with EDA",IF(ISBLANK(P24),"Missing confidence",IF(ISBLANK(H24),"Missing sub-sector","OK")))))</f>
        <v/>
      </c>
    </row>
    <row r="25">
      <c r="A25" s="6" t="inlineStr">
        <is>
          <t>Charlton</t>
        </is>
      </c>
      <c r="B25" s="7">
        <f>LOWER(SUBSTITUTE(A25," ","-"))</f>
        <v/>
      </c>
      <c r="C25" s="8" t="n"/>
      <c r="D25" s="8" t="n"/>
      <c r="E25" s="8" t="n"/>
      <c r="F25" s="8" t="n"/>
      <c r="G25" s="8" t="n"/>
      <c r="H25" s="8" t="n"/>
      <c r="I25" s="8" t="n"/>
      <c r="J25" s="8" t="n"/>
      <c r="K25" s="8" t="n"/>
      <c r="L25" s="8" t="n"/>
      <c r="M25" s="8" t="n"/>
      <c r="N25" s="8" t="n"/>
      <c r="O25" s="8" t="n"/>
      <c r="P25" s="8" t="n"/>
      <c r="Q25" s="8" t="n"/>
      <c r="R25" s="8" t="n"/>
      <c r="S25" s="8" t="n"/>
      <c r="T25" s="8" t="n"/>
      <c r="U25" s="8" t="n"/>
      <c r="V25" s="6">
        <f>IF(ISBLANK(G25),"Not started",IF(ISBLANK(M25),"Missing source",IF(LEFT(M25,5)="DRAFT","Draft - verify with EDA",IF(ISBLANK(P25),"Missing confidence",IF(ISBLANK(H25),"Missing sub-sector","OK")))))</f>
        <v/>
      </c>
    </row>
    <row r="26">
      <c r="A26" s="6" t="inlineStr">
        <is>
          <t>Chatham</t>
        </is>
      </c>
      <c r="B26" s="7">
        <f>LOWER(SUBSTITUTE(A26," ","-"))</f>
        <v/>
      </c>
      <c r="C26" s="8" t="n"/>
      <c r="D26" s="8" t="n"/>
      <c r="E26" s="8" t="n"/>
      <c r="F26" s="8" t="n"/>
      <c r="G26" s="8" t="n"/>
      <c r="H26" s="8" t="n"/>
      <c r="I26" s="8" t="n"/>
      <c r="J26" s="8" t="n"/>
      <c r="K26" s="8" t="n"/>
      <c r="L26" s="8" t="n"/>
      <c r="M26" s="8" t="n"/>
      <c r="N26" s="8" t="n"/>
      <c r="O26" s="8" t="n"/>
      <c r="P26" s="8" t="n"/>
      <c r="Q26" s="8" t="n"/>
      <c r="R26" s="8" t="n"/>
      <c r="S26" s="8" t="n"/>
      <c r="T26" s="8" t="n"/>
      <c r="U26" s="8" t="n"/>
      <c r="V26" s="6">
        <f>IF(ISBLANK(G26),"Not started",IF(ISBLANK(M26),"Missing source",IF(LEFT(M26,5)="DRAFT","Draft - verify with EDA",IF(ISBLANK(P26),"Missing confidence",IF(ISBLANK(H26),"Missing sub-sector","OK")))))</f>
        <v/>
      </c>
    </row>
    <row r="27">
      <c r="A27" s="6" t="inlineStr">
        <is>
          <t>Chattahoochee</t>
        </is>
      </c>
      <c r="B27" s="7">
        <f>LOWER(SUBSTITUTE(A27," ","-"))</f>
        <v/>
      </c>
      <c r="C27" s="8" t="n"/>
      <c r="D27" s="8" t="n"/>
      <c r="E27" s="8" t="n"/>
      <c r="F27" s="8" t="n"/>
      <c r="G27" s="8" t="n"/>
      <c r="H27" s="8" t="n"/>
      <c r="I27" s="8" t="n"/>
      <c r="J27" s="8" t="n"/>
      <c r="K27" s="8" t="n"/>
      <c r="L27" s="8" t="n"/>
      <c r="M27" s="8" t="n"/>
      <c r="N27" s="8" t="n"/>
      <c r="O27" s="8" t="n"/>
      <c r="P27" s="8" t="n"/>
      <c r="Q27" s="8" t="n"/>
      <c r="R27" s="8" t="n"/>
      <c r="S27" s="8" t="n"/>
      <c r="T27" s="8" t="n"/>
      <c r="U27" s="8" t="n"/>
      <c r="V27" s="6">
        <f>IF(ISBLANK(G27),"Not started",IF(ISBLANK(M27),"Missing source",IF(LEFT(M27,5)="DRAFT","Draft - verify with EDA",IF(ISBLANK(P27),"Missing confidence",IF(ISBLANK(H27),"Missing sub-sector","OK")))))</f>
        <v/>
      </c>
    </row>
    <row r="28">
      <c r="A28" s="6" t="inlineStr">
        <is>
          <t>Chattooga</t>
        </is>
      </c>
      <c r="B28" s="7">
        <f>LOWER(SUBSTITUTE(A28," ","-"))</f>
        <v/>
      </c>
      <c r="C28" s="8" t="n"/>
      <c r="D28" s="8" t="n"/>
      <c r="E28" s="8" t="n"/>
      <c r="F28" s="8" t="n"/>
      <c r="G28" s="8" t="n"/>
      <c r="H28" s="8" t="n"/>
      <c r="I28" s="8" t="n"/>
      <c r="J28" s="8" t="n"/>
      <c r="K28" s="8" t="n"/>
      <c r="L28" s="8" t="n"/>
      <c r="M28" s="8" t="n"/>
      <c r="N28" s="8" t="n"/>
      <c r="O28" s="8" t="n"/>
      <c r="P28" s="8" t="n"/>
      <c r="Q28" s="8" t="n"/>
      <c r="R28" s="8" t="n"/>
      <c r="S28" s="8" t="n"/>
      <c r="T28" s="8" t="n"/>
      <c r="U28" s="8" t="n"/>
      <c r="V28" s="6">
        <f>IF(ISBLANK(G28),"Not started",IF(ISBLANK(M28),"Missing source",IF(LEFT(M28,5)="DRAFT","Draft - verify with EDA",IF(ISBLANK(P28),"Missing confidence",IF(ISBLANK(H28),"Missing sub-sector","OK")))))</f>
        <v/>
      </c>
    </row>
    <row r="29">
      <c r="A29" s="6" t="inlineStr">
        <is>
          <t>Cherokee</t>
        </is>
      </c>
      <c r="B29" s="7">
        <f>LOWER(SUBSTITUTE(A29," ","-"))</f>
        <v/>
      </c>
      <c r="C29" s="8" t="n"/>
      <c r="D29" s="8" t="n"/>
      <c r="E29" s="8" t="n"/>
      <c r="F29" s="8" t="n"/>
      <c r="G29" s="8" t="n"/>
      <c r="H29" s="8" t="n"/>
      <c r="I29" s="8" t="n"/>
      <c r="J29" s="8" t="n"/>
      <c r="K29" s="8" t="n"/>
      <c r="L29" s="8" t="n"/>
      <c r="M29" s="8" t="n"/>
      <c r="N29" s="8" t="n"/>
      <c r="O29" s="8" t="n"/>
      <c r="P29" s="8" t="n"/>
      <c r="Q29" s="8" t="n"/>
      <c r="R29" s="8" t="n"/>
      <c r="S29" s="8" t="n"/>
      <c r="T29" s="8" t="n"/>
      <c r="U29" s="8" t="n"/>
      <c r="V29" s="6">
        <f>IF(ISBLANK(G29),"Not started",IF(ISBLANK(M29),"Missing source",IF(LEFT(M29,5)="DRAFT","Draft - verify with EDA",IF(ISBLANK(P29),"Missing confidence",IF(ISBLANK(H29),"Missing sub-sector","OK")))))</f>
        <v/>
      </c>
    </row>
    <row r="30">
      <c r="A30" s="6" t="inlineStr">
        <is>
          <t>Clarke</t>
        </is>
      </c>
      <c r="B30" s="7">
        <f>LOWER(SUBSTITUTE(A30," ","-"))</f>
        <v/>
      </c>
      <c r="C30" s="8" t="n"/>
      <c r="D30" s="8" t="n"/>
      <c r="E30" s="8" t="n"/>
      <c r="F30" s="8" t="n"/>
      <c r="G30" s="8" t="n"/>
      <c r="H30" s="8" t="n"/>
      <c r="I30" s="8" t="n"/>
      <c r="J30" s="8" t="n"/>
      <c r="K30" s="8" t="n"/>
      <c r="L30" s="8" t="n"/>
      <c r="M30" s="8" t="n"/>
      <c r="N30" s="8" t="n"/>
      <c r="O30" s="8" t="n"/>
      <c r="P30" s="8" t="n"/>
      <c r="Q30" s="8" t="n"/>
      <c r="R30" s="8" t="n"/>
      <c r="S30" s="8" t="n"/>
      <c r="T30" s="8" t="n"/>
      <c r="U30" s="8" t="n"/>
      <c r="V30" s="6">
        <f>IF(ISBLANK(G30),"Not started",IF(ISBLANK(M30),"Missing source",IF(LEFT(M30,5)="DRAFT","Draft - verify with EDA",IF(ISBLANK(P30),"Missing confidence",IF(ISBLANK(H30),"Missing sub-sector","OK")))))</f>
        <v/>
      </c>
    </row>
    <row r="31">
      <c r="A31" s="6" t="inlineStr">
        <is>
          <t>Clay</t>
        </is>
      </c>
      <c r="B31" s="7">
        <f>LOWER(SUBSTITUTE(A31," ","-"))</f>
        <v/>
      </c>
      <c r="C31" s="8" t="n"/>
      <c r="D31" s="8" t="n"/>
      <c r="E31" s="8" t="n"/>
      <c r="F31" s="8" t="n"/>
      <c r="G31" s="8" t="n"/>
      <c r="H31" s="8" t="n"/>
      <c r="I31" s="8" t="n"/>
      <c r="J31" s="8" t="n"/>
      <c r="K31" s="8" t="n"/>
      <c r="L31" s="8" t="n"/>
      <c r="M31" s="8" t="n"/>
      <c r="N31" s="8" t="n"/>
      <c r="O31" s="8" t="n"/>
      <c r="P31" s="8" t="n"/>
      <c r="Q31" s="8" t="n"/>
      <c r="R31" s="8" t="n"/>
      <c r="S31" s="8" t="n"/>
      <c r="T31" s="8" t="n"/>
      <c r="U31" s="8" t="n"/>
      <c r="V31" s="6">
        <f>IF(ISBLANK(G31),"Not started",IF(ISBLANK(M31),"Missing source",IF(LEFT(M31,5)="DRAFT","Draft - verify with EDA",IF(ISBLANK(P31),"Missing confidence",IF(ISBLANK(H31),"Missing sub-sector","OK")))))</f>
        <v/>
      </c>
    </row>
    <row r="32">
      <c r="A32" s="6" t="inlineStr">
        <is>
          <t>Clayton</t>
        </is>
      </c>
      <c r="B32" s="7">
        <f>LOWER(SUBSTITUTE(A32," ","-"))</f>
        <v/>
      </c>
      <c r="C32" s="8" t="n"/>
      <c r="D32" s="8" t="n"/>
      <c r="E32" s="8" t="n"/>
      <c r="F32" s="8" t="n"/>
      <c r="G32" s="8" t="n"/>
      <c r="H32" s="8" t="n"/>
      <c r="I32" s="8" t="n"/>
      <c r="J32" s="8" t="n"/>
      <c r="K32" s="8" t="n"/>
      <c r="L32" s="8" t="n"/>
      <c r="M32" s="8" t="n"/>
      <c r="N32" s="8" t="n"/>
      <c r="O32" s="8" t="n"/>
      <c r="P32" s="8" t="n"/>
      <c r="Q32" s="8" t="n"/>
      <c r="R32" s="8" t="n"/>
      <c r="S32" s="8" t="n"/>
      <c r="T32" s="8" t="n"/>
      <c r="U32" s="8" t="n"/>
      <c r="V32" s="6">
        <f>IF(ISBLANK(G32),"Not started",IF(ISBLANK(M32),"Missing source",IF(LEFT(M32,5)="DRAFT","Draft - verify with EDA",IF(ISBLANK(P32),"Missing confidence",IF(ISBLANK(H32),"Missing sub-sector","OK")))))</f>
        <v/>
      </c>
    </row>
    <row r="33">
      <c r="A33" s="6" t="inlineStr">
        <is>
          <t>Clinch</t>
        </is>
      </c>
      <c r="B33" s="7">
        <f>LOWER(SUBSTITUTE(A33," ","-"))</f>
        <v/>
      </c>
      <c r="C33" s="8" t="n"/>
      <c r="D33" s="8" t="n"/>
      <c r="E33" s="8" t="n"/>
      <c r="F33" s="8" t="n"/>
      <c r="G33" s="8" t="n"/>
      <c r="H33" s="8" t="n"/>
      <c r="I33" s="8" t="n"/>
      <c r="J33" s="8" t="n"/>
      <c r="K33" s="8" t="n"/>
      <c r="L33" s="8" t="n"/>
      <c r="M33" s="8" t="n"/>
      <c r="N33" s="8" t="n"/>
      <c r="O33" s="8" t="n"/>
      <c r="P33" s="8" t="n"/>
      <c r="Q33" s="8" t="n"/>
      <c r="R33" s="8" t="n"/>
      <c r="S33" s="8" t="n"/>
      <c r="T33" s="8" t="n"/>
      <c r="U33" s="8" t="n"/>
      <c r="V33" s="6">
        <f>IF(ISBLANK(G33),"Not started",IF(ISBLANK(M33),"Missing source",IF(LEFT(M33,5)="DRAFT","Draft - verify with EDA",IF(ISBLANK(P33),"Missing confidence",IF(ISBLANK(H33),"Missing sub-sector","OK")))))</f>
        <v/>
      </c>
    </row>
    <row r="34">
      <c r="A34" s="6" t="inlineStr">
        <is>
          <t>Cobb</t>
        </is>
      </c>
      <c r="B34" s="7">
        <f>LOWER(SUBSTITUTE(A34," ","-"))</f>
        <v/>
      </c>
      <c r="C34" s="8" t="n"/>
      <c r="D34" s="8" t="n"/>
      <c r="E34" s="8" t="n"/>
      <c r="F34" s="8" t="n"/>
      <c r="G34" s="8" t="n"/>
      <c r="H34" s="8" t="n"/>
      <c r="I34" s="8" t="n"/>
      <c r="J34" s="8" t="n"/>
      <c r="K34" s="8" t="n"/>
      <c r="L34" s="8" t="n"/>
      <c r="M34" s="8" t="n"/>
      <c r="N34" s="8" t="n"/>
      <c r="O34" s="8" t="n"/>
      <c r="P34" s="8" t="n"/>
      <c r="Q34" s="8" t="n"/>
      <c r="R34" s="8" t="n"/>
      <c r="S34" s="8" t="n"/>
      <c r="T34" s="8" t="n"/>
      <c r="U34" s="8" t="n"/>
      <c r="V34" s="6">
        <f>IF(ISBLANK(G34),"Not started",IF(ISBLANK(M34),"Missing source",IF(LEFT(M34,5)="DRAFT","Draft - verify with EDA",IF(ISBLANK(P34),"Missing confidence",IF(ISBLANK(H34),"Missing sub-sector","OK")))))</f>
        <v/>
      </c>
    </row>
    <row r="35">
      <c r="A35" s="6" t="inlineStr">
        <is>
          <t>Coffee</t>
        </is>
      </c>
      <c r="B35" s="7">
        <f>LOWER(SUBSTITUTE(A35," ","-"))</f>
        <v/>
      </c>
      <c r="C35" s="8" t="n"/>
      <c r="D35" s="8" t="n"/>
      <c r="E35" s="8" t="n"/>
      <c r="F35" s="8" t="n"/>
      <c r="G35" s="8" t="n"/>
      <c r="H35" s="8" t="n"/>
      <c r="I35" s="8" t="n"/>
      <c r="J35" s="8" t="n"/>
      <c r="K35" s="8" t="n"/>
      <c r="L35" s="8" t="n"/>
      <c r="M35" s="8" t="n"/>
      <c r="N35" s="8" t="n"/>
      <c r="O35" s="8" t="n"/>
      <c r="P35" s="8" t="n"/>
      <c r="Q35" s="8" t="n"/>
      <c r="R35" s="8" t="n"/>
      <c r="S35" s="8" t="n"/>
      <c r="T35" s="8" t="n"/>
      <c r="U35" s="8" t="n"/>
      <c r="V35" s="6">
        <f>IF(ISBLANK(G35),"Not started",IF(ISBLANK(M35),"Missing source",IF(LEFT(M35,5)="DRAFT","Draft - verify with EDA",IF(ISBLANK(P35),"Missing confidence",IF(ISBLANK(H35),"Missing sub-sector","OK")))))</f>
        <v/>
      </c>
    </row>
    <row r="36">
      <c r="A36" s="6" t="inlineStr">
        <is>
          <t>Colquitt</t>
        </is>
      </c>
      <c r="B36" s="7">
        <f>LOWER(SUBSTITUTE(A36," ","-"))</f>
        <v/>
      </c>
      <c r="C36" s="8" t="n"/>
      <c r="D36" s="8" t="n"/>
      <c r="E36" s="8" t="n"/>
      <c r="F36" s="8" t="n"/>
      <c r="G36" s="8" t="n"/>
      <c r="H36" s="8" t="n"/>
      <c r="I36" s="8" t="n"/>
      <c r="J36" s="8" t="n"/>
      <c r="K36" s="8" t="n"/>
      <c r="L36" s="8" t="n"/>
      <c r="M36" s="8" t="n"/>
      <c r="N36" s="8" t="n"/>
      <c r="O36" s="8" t="n"/>
      <c r="P36" s="8" t="n"/>
      <c r="Q36" s="8" t="n"/>
      <c r="R36" s="8" t="n"/>
      <c r="S36" s="8" t="n"/>
      <c r="T36" s="8" t="n"/>
      <c r="U36" s="8" t="n"/>
      <c r="V36" s="6">
        <f>IF(ISBLANK(G36),"Not started",IF(ISBLANK(M36),"Missing source",IF(LEFT(M36,5)="DRAFT","Draft - verify with EDA",IF(ISBLANK(P36),"Missing confidence",IF(ISBLANK(H36),"Missing sub-sector","OK")))))</f>
        <v/>
      </c>
    </row>
    <row r="37">
      <c r="A37" s="6" t="inlineStr">
        <is>
          <t>Columbia</t>
        </is>
      </c>
      <c r="B37" s="7">
        <f>LOWER(SUBSTITUTE(A37," ","-"))</f>
        <v/>
      </c>
      <c r="C37" s="8" t="n"/>
      <c r="D37" s="8" t="n"/>
      <c r="E37" s="8" t="n"/>
      <c r="F37" s="8" t="n"/>
      <c r="G37" s="8" t="n"/>
      <c r="H37" s="8" t="n"/>
      <c r="I37" s="8" t="n"/>
      <c r="J37" s="8" t="n"/>
      <c r="K37" s="8" t="n"/>
      <c r="L37" s="8" t="n"/>
      <c r="M37" s="8" t="n"/>
      <c r="N37" s="8" t="n"/>
      <c r="O37" s="8" t="n"/>
      <c r="P37" s="8" t="n"/>
      <c r="Q37" s="8" t="n"/>
      <c r="R37" s="8" t="n"/>
      <c r="S37" s="8" t="n"/>
      <c r="T37" s="8" t="n"/>
      <c r="U37" s="8" t="n"/>
      <c r="V37" s="6">
        <f>IF(ISBLANK(G37),"Not started",IF(ISBLANK(M37),"Missing source",IF(LEFT(M37,5)="DRAFT","Draft - verify with EDA",IF(ISBLANK(P37),"Missing confidence",IF(ISBLANK(H37),"Missing sub-sector","OK")))))</f>
        <v/>
      </c>
    </row>
    <row r="38">
      <c r="A38" s="6" t="inlineStr">
        <is>
          <t>Cook</t>
        </is>
      </c>
      <c r="B38" s="7">
        <f>LOWER(SUBSTITUTE(A38," ","-"))</f>
        <v/>
      </c>
      <c r="C38" s="8" t="n"/>
      <c r="D38" s="8" t="n"/>
      <c r="E38" s="8" t="n"/>
      <c r="F38" s="8" t="n"/>
      <c r="G38" s="8" t="n"/>
      <c r="H38" s="8" t="n"/>
      <c r="I38" s="8" t="n"/>
      <c r="J38" s="8" t="n"/>
      <c r="K38" s="8" t="n"/>
      <c r="L38" s="8" t="n"/>
      <c r="M38" s="8" t="n"/>
      <c r="N38" s="8" t="n"/>
      <c r="O38" s="8" t="n"/>
      <c r="P38" s="8" t="n"/>
      <c r="Q38" s="8" t="n"/>
      <c r="R38" s="8" t="n"/>
      <c r="S38" s="8" t="n"/>
      <c r="T38" s="8" t="n"/>
      <c r="U38" s="8" t="n"/>
      <c r="V38" s="6">
        <f>IF(ISBLANK(G38),"Not started",IF(ISBLANK(M38),"Missing source",IF(LEFT(M38,5)="DRAFT","Draft - verify with EDA",IF(ISBLANK(P38),"Missing confidence",IF(ISBLANK(H38),"Missing sub-sector","OK")))))</f>
        <v/>
      </c>
    </row>
    <row r="39">
      <c r="A39" s="6" t="inlineStr">
        <is>
          <t>Coweta</t>
        </is>
      </c>
      <c r="B39" s="7">
        <f>LOWER(SUBSTITUTE(A39," ","-"))</f>
        <v/>
      </c>
      <c r="C39" s="8" t="n"/>
      <c r="D39" s="8" t="n"/>
      <c r="E39" s="8" t="n"/>
      <c r="F39" s="8" t="n"/>
      <c r="G39" s="8" t="n"/>
      <c r="H39" s="8" t="n"/>
      <c r="I39" s="8" t="n"/>
      <c r="J39" s="8" t="n"/>
      <c r="K39" s="8" t="n"/>
      <c r="L39" s="8" t="n"/>
      <c r="M39" s="8" t="n"/>
      <c r="N39" s="8" t="n"/>
      <c r="O39" s="8" t="n"/>
      <c r="P39" s="8" t="n"/>
      <c r="Q39" s="8" t="n"/>
      <c r="R39" s="8" t="n"/>
      <c r="S39" s="8" t="n"/>
      <c r="T39" s="8" t="n"/>
      <c r="U39" s="8" t="n"/>
      <c r="V39" s="6">
        <f>IF(ISBLANK(G39),"Not started",IF(ISBLANK(M39),"Missing source",IF(LEFT(M39,5)="DRAFT","Draft - verify with EDA",IF(ISBLANK(P39),"Missing confidence",IF(ISBLANK(H39),"Missing sub-sector","OK")))))</f>
        <v/>
      </c>
    </row>
    <row r="40">
      <c r="A40" s="6" t="inlineStr">
        <is>
          <t>Crawford</t>
        </is>
      </c>
      <c r="B40" s="7">
        <f>LOWER(SUBSTITUTE(A40," ","-"))</f>
        <v/>
      </c>
      <c r="C40" s="8" t="n"/>
      <c r="D40" s="8" t="n"/>
      <c r="E40" s="8" t="n"/>
      <c r="F40" s="8" t="n"/>
      <c r="G40" s="8" t="n"/>
      <c r="H40" s="8" t="n"/>
      <c r="I40" s="8" t="n"/>
      <c r="J40" s="8" t="n"/>
      <c r="K40" s="8" t="n"/>
      <c r="L40" s="8" t="n"/>
      <c r="M40" s="8" t="n"/>
      <c r="N40" s="8" t="n"/>
      <c r="O40" s="8" t="n"/>
      <c r="P40" s="8" t="n"/>
      <c r="Q40" s="8" t="n"/>
      <c r="R40" s="8" t="n"/>
      <c r="S40" s="8" t="n"/>
      <c r="T40" s="8" t="n"/>
      <c r="U40" s="8" t="n"/>
      <c r="V40" s="6">
        <f>IF(ISBLANK(G40),"Not started",IF(ISBLANK(M40),"Missing source",IF(LEFT(M40,5)="DRAFT","Draft - verify with EDA",IF(ISBLANK(P40),"Missing confidence",IF(ISBLANK(H40),"Missing sub-sector","OK")))))</f>
        <v/>
      </c>
    </row>
    <row r="41">
      <c r="A41" s="6" t="inlineStr">
        <is>
          <t>Crisp</t>
        </is>
      </c>
      <c r="B41" s="7">
        <f>LOWER(SUBSTITUTE(A41," ","-"))</f>
        <v/>
      </c>
      <c r="C41" s="8" t="n"/>
      <c r="D41" s="8" t="n"/>
      <c r="E41" s="8" t="n"/>
      <c r="F41" s="8" t="n"/>
      <c r="G41" s="8" t="n"/>
      <c r="H41" s="8" t="n"/>
      <c r="I41" s="8" t="n"/>
      <c r="J41" s="8" t="n"/>
      <c r="K41" s="8" t="n"/>
      <c r="L41" s="8" t="n"/>
      <c r="M41" s="8" t="n"/>
      <c r="N41" s="8" t="n"/>
      <c r="O41" s="8" t="n"/>
      <c r="P41" s="8" t="n"/>
      <c r="Q41" s="8" t="n"/>
      <c r="R41" s="8" t="n"/>
      <c r="S41" s="8" t="n"/>
      <c r="T41" s="8" t="n"/>
      <c r="U41" s="8" t="n"/>
      <c r="V41" s="6">
        <f>IF(ISBLANK(G41),"Not started",IF(ISBLANK(M41),"Missing source",IF(LEFT(M41,5)="DRAFT","Draft - verify with EDA",IF(ISBLANK(P41),"Missing confidence",IF(ISBLANK(H41),"Missing sub-sector","OK")))))</f>
        <v/>
      </c>
    </row>
    <row r="42">
      <c r="A42" s="6" t="inlineStr">
        <is>
          <t>Dade</t>
        </is>
      </c>
      <c r="B42" s="7">
        <f>LOWER(SUBSTITUTE(A42," ","-"))</f>
        <v/>
      </c>
      <c r="C42" s="8" t="n"/>
      <c r="D42" s="8" t="n"/>
      <c r="E42" s="8" t="n"/>
      <c r="F42" s="8" t="n"/>
      <c r="G42" s="8" t="n"/>
      <c r="H42" s="8" t="n"/>
      <c r="I42" s="8" t="n"/>
      <c r="J42" s="8" t="n"/>
      <c r="K42" s="8" t="n"/>
      <c r="L42" s="8" t="n"/>
      <c r="M42" s="8" t="n"/>
      <c r="N42" s="8" t="n"/>
      <c r="O42" s="8" t="n"/>
      <c r="P42" s="8" t="n"/>
      <c r="Q42" s="8" t="n"/>
      <c r="R42" s="8" t="n"/>
      <c r="S42" s="8" t="n"/>
      <c r="T42" s="8" t="n"/>
      <c r="U42" s="8" t="n"/>
      <c r="V42" s="6">
        <f>IF(ISBLANK(G42),"Not started",IF(ISBLANK(M42),"Missing source",IF(LEFT(M42,5)="DRAFT","Draft - verify with EDA",IF(ISBLANK(P42),"Missing confidence",IF(ISBLANK(H42),"Missing sub-sector","OK")))))</f>
        <v/>
      </c>
    </row>
    <row r="43">
      <c r="A43" s="6" t="inlineStr">
        <is>
          <t>Dawson</t>
        </is>
      </c>
      <c r="B43" s="7">
        <f>LOWER(SUBSTITUTE(A43," ","-"))</f>
        <v/>
      </c>
      <c r="C43" s="8" t="n"/>
      <c r="D43" s="8" t="n"/>
      <c r="E43" s="8" t="n"/>
      <c r="F43" s="8" t="n"/>
      <c r="G43" s="8" t="n"/>
      <c r="H43" s="8" t="n"/>
      <c r="I43" s="8" t="n"/>
      <c r="J43" s="8" t="n"/>
      <c r="K43" s="8" t="n"/>
      <c r="L43" s="8" t="n"/>
      <c r="M43" s="8" t="n"/>
      <c r="N43" s="8" t="n"/>
      <c r="O43" s="8" t="n"/>
      <c r="P43" s="8" t="n"/>
      <c r="Q43" s="8" t="n"/>
      <c r="R43" s="8" t="n"/>
      <c r="S43" s="8" t="n"/>
      <c r="T43" s="8" t="n"/>
      <c r="U43" s="8" t="n"/>
      <c r="V43" s="6">
        <f>IF(ISBLANK(G43),"Not started",IF(ISBLANK(M43),"Missing source",IF(LEFT(M43,5)="DRAFT","Draft - verify with EDA",IF(ISBLANK(P43),"Missing confidence",IF(ISBLANK(H43),"Missing sub-sector","OK")))))</f>
        <v/>
      </c>
    </row>
    <row r="44">
      <c r="A44" s="6" t="inlineStr">
        <is>
          <t>Decatur</t>
        </is>
      </c>
      <c r="B44" s="7">
        <f>LOWER(SUBSTITUTE(A44," ","-"))</f>
        <v/>
      </c>
      <c r="C44" s="8" t="n"/>
      <c r="D44" s="8" t="n"/>
      <c r="E44" s="8" t="n"/>
      <c r="F44" s="8" t="n"/>
      <c r="G44" s="8" t="n"/>
      <c r="H44" s="8" t="n"/>
      <c r="I44" s="8" t="n"/>
      <c r="J44" s="8" t="n"/>
      <c r="K44" s="8" t="n"/>
      <c r="L44" s="8" t="n"/>
      <c r="M44" s="8" t="n"/>
      <c r="N44" s="8" t="n"/>
      <c r="O44" s="8" t="n"/>
      <c r="P44" s="8" t="n"/>
      <c r="Q44" s="8" t="n"/>
      <c r="R44" s="8" t="n"/>
      <c r="S44" s="8" t="n"/>
      <c r="T44" s="8" t="n"/>
      <c r="U44" s="8" t="n"/>
      <c r="V44" s="6">
        <f>IF(ISBLANK(G44),"Not started",IF(ISBLANK(M44),"Missing source",IF(LEFT(M44,5)="DRAFT","Draft - verify with EDA",IF(ISBLANK(P44),"Missing confidence",IF(ISBLANK(H44),"Missing sub-sector","OK")))))</f>
        <v/>
      </c>
    </row>
    <row r="45">
      <c r="A45" s="6" t="inlineStr">
        <is>
          <t>DeKalb</t>
        </is>
      </c>
      <c r="B45" s="7">
        <f>LOWER(SUBSTITUTE(A45," ","-"))</f>
        <v/>
      </c>
      <c r="C45" s="8" t="n"/>
      <c r="D45" s="8" t="n"/>
      <c r="E45" s="8" t="n"/>
      <c r="F45" s="8" t="n"/>
      <c r="G45" s="8" t="n"/>
      <c r="H45" s="8" t="n"/>
      <c r="I45" s="8" t="n"/>
      <c r="J45" s="8" t="n"/>
      <c r="K45" s="8" t="n"/>
      <c r="L45" s="8" t="n"/>
      <c r="M45" s="8" t="n"/>
      <c r="N45" s="8" t="n"/>
      <c r="O45" s="8" t="n"/>
      <c r="P45" s="8" t="n"/>
      <c r="Q45" s="8" t="n"/>
      <c r="R45" s="8" t="n"/>
      <c r="S45" s="8" t="n"/>
      <c r="T45" s="8" t="n"/>
      <c r="U45" s="8" t="n"/>
      <c r="V45" s="6">
        <f>IF(ISBLANK(G45),"Not started",IF(ISBLANK(M45),"Missing source",IF(LEFT(M45,5)="DRAFT","Draft - verify with EDA",IF(ISBLANK(P45),"Missing confidence",IF(ISBLANK(H45),"Missing sub-sector","OK")))))</f>
        <v/>
      </c>
    </row>
    <row r="46">
      <c r="A46" s="6" t="inlineStr">
        <is>
          <t>Dodge</t>
        </is>
      </c>
      <c r="B46" s="7">
        <f>LOWER(SUBSTITUTE(A46," ","-"))</f>
        <v/>
      </c>
      <c r="C46" s="8" t="n"/>
      <c r="D46" s="8" t="n"/>
      <c r="E46" s="8" t="n"/>
      <c r="F46" s="8" t="n"/>
      <c r="G46" s="8" t="n"/>
      <c r="H46" s="8" t="n"/>
      <c r="I46" s="8" t="n"/>
      <c r="J46" s="8" t="n"/>
      <c r="K46" s="8" t="n"/>
      <c r="L46" s="8" t="n"/>
      <c r="M46" s="8" t="n"/>
      <c r="N46" s="8" t="n"/>
      <c r="O46" s="8" t="n"/>
      <c r="P46" s="8" t="n"/>
      <c r="Q46" s="8" t="n"/>
      <c r="R46" s="8" t="n"/>
      <c r="S46" s="8" t="n"/>
      <c r="T46" s="8" t="n"/>
      <c r="U46" s="8" t="n"/>
      <c r="V46" s="6">
        <f>IF(ISBLANK(G46),"Not started",IF(ISBLANK(M46),"Missing source",IF(LEFT(M46,5)="DRAFT","Draft - verify with EDA",IF(ISBLANK(P46),"Missing confidence",IF(ISBLANK(H46),"Missing sub-sector","OK")))))</f>
        <v/>
      </c>
    </row>
    <row r="47">
      <c r="A47" s="6" t="inlineStr">
        <is>
          <t>Dooly</t>
        </is>
      </c>
      <c r="B47" s="7">
        <f>LOWER(SUBSTITUTE(A47," ","-"))</f>
        <v/>
      </c>
      <c r="C47" s="8" t="n"/>
      <c r="D47" s="8" t="n"/>
      <c r="E47" s="8" t="n"/>
      <c r="F47" s="8" t="n"/>
      <c r="G47" s="8" t="n"/>
      <c r="H47" s="8" t="n"/>
      <c r="I47" s="8" t="n"/>
      <c r="J47" s="8" t="n"/>
      <c r="K47" s="8" t="n"/>
      <c r="L47" s="8" t="n"/>
      <c r="M47" s="8" t="n"/>
      <c r="N47" s="8" t="n"/>
      <c r="O47" s="8" t="n"/>
      <c r="P47" s="8" t="n"/>
      <c r="Q47" s="8" t="n"/>
      <c r="R47" s="8" t="n"/>
      <c r="S47" s="8" t="n"/>
      <c r="T47" s="8" t="n"/>
      <c r="U47" s="8" t="n"/>
      <c r="V47" s="6">
        <f>IF(ISBLANK(G47),"Not started",IF(ISBLANK(M47),"Missing source",IF(LEFT(M47,5)="DRAFT","Draft - verify with EDA",IF(ISBLANK(P47),"Missing confidence",IF(ISBLANK(H47),"Missing sub-sector","OK")))))</f>
        <v/>
      </c>
    </row>
    <row r="48">
      <c r="A48" s="6" t="inlineStr">
        <is>
          <t>Dougherty</t>
        </is>
      </c>
      <c r="B48" s="7">
        <f>LOWER(SUBSTITUTE(A48," ","-"))</f>
        <v/>
      </c>
      <c r="C48" s="8" t="n"/>
      <c r="D48" s="8" t="n"/>
      <c r="E48" s="8" t="n"/>
      <c r="F48" s="8" t="n"/>
      <c r="G48" s="8" t="n"/>
      <c r="H48" s="8" t="n"/>
      <c r="I48" s="8" t="n"/>
      <c r="J48" s="8" t="n"/>
      <c r="K48" s="8" t="n"/>
      <c r="L48" s="8" t="n"/>
      <c r="M48" s="8" t="n"/>
      <c r="N48" s="8" t="n"/>
      <c r="O48" s="8" t="n"/>
      <c r="P48" s="8" t="n"/>
      <c r="Q48" s="8" t="n"/>
      <c r="R48" s="8" t="n"/>
      <c r="S48" s="8" t="n"/>
      <c r="T48" s="8" t="n"/>
      <c r="U48" s="8" t="n"/>
      <c r="V48" s="6">
        <f>IF(ISBLANK(G48),"Not started",IF(ISBLANK(M48),"Missing source",IF(LEFT(M48,5)="DRAFT","Draft - verify with EDA",IF(ISBLANK(P48),"Missing confidence",IF(ISBLANK(H48),"Missing sub-sector","OK")))))</f>
        <v/>
      </c>
    </row>
    <row r="49">
      <c r="A49" s="6" t="inlineStr">
        <is>
          <t>Douglas</t>
        </is>
      </c>
      <c r="B49" s="7">
        <f>LOWER(SUBSTITUTE(A49," ","-"))</f>
        <v/>
      </c>
      <c r="C49" s="8" t="n"/>
      <c r="D49" s="8" t="n"/>
      <c r="E49" s="8" t="n"/>
      <c r="F49" s="8" t="n"/>
      <c r="G49" s="8" t="n"/>
      <c r="H49" s="8" t="n"/>
      <c r="I49" s="8" t="n"/>
      <c r="J49" s="8" t="n"/>
      <c r="K49" s="8" t="n"/>
      <c r="L49" s="8" t="n"/>
      <c r="M49" s="8" t="n"/>
      <c r="N49" s="8" t="n"/>
      <c r="O49" s="8" t="n"/>
      <c r="P49" s="8" t="n"/>
      <c r="Q49" s="8" t="n"/>
      <c r="R49" s="8" t="n"/>
      <c r="S49" s="8" t="n"/>
      <c r="T49" s="8" t="n"/>
      <c r="U49" s="8" t="n"/>
      <c r="V49" s="6">
        <f>IF(ISBLANK(G49),"Not started",IF(ISBLANK(M49),"Missing source",IF(LEFT(M49,5)="DRAFT","Draft - verify with EDA",IF(ISBLANK(P49),"Missing confidence",IF(ISBLANK(H49),"Missing sub-sector","OK")))))</f>
        <v/>
      </c>
    </row>
    <row r="50">
      <c r="A50" s="6" t="inlineStr">
        <is>
          <t>Early</t>
        </is>
      </c>
      <c r="B50" s="7">
        <f>LOWER(SUBSTITUTE(A50," ","-"))</f>
        <v/>
      </c>
      <c r="C50" s="8" t="n"/>
      <c r="D50" s="8" t="n"/>
      <c r="E50" s="8" t="n"/>
      <c r="F50" s="8" t="n"/>
      <c r="G50" s="8" t="n"/>
      <c r="H50" s="8" t="n"/>
      <c r="I50" s="8" t="n"/>
      <c r="J50" s="8" t="n"/>
      <c r="K50" s="8" t="n"/>
      <c r="L50" s="8" t="n"/>
      <c r="M50" s="8" t="n"/>
      <c r="N50" s="8" t="n"/>
      <c r="O50" s="8" t="n"/>
      <c r="P50" s="8" t="n"/>
      <c r="Q50" s="8" t="n"/>
      <c r="R50" s="8" t="n"/>
      <c r="S50" s="8" t="n"/>
      <c r="T50" s="8" t="n"/>
      <c r="U50" s="8" t="n"/>
      <c r="V50" s="6">
        <f>IF(ISBLANK(G50),"Not started",IF(ISBLANK(M50),"Missing source",IF(LEFT(M50,5)="DRAFT","Draft - verify with EDA",IF(ISBLANK(P50),"Missing confidence",IF(ISBLANK(H50),"Missing sub-sector","OK")))))</f>
        <v/>
      </c>
    </row>
    <row r="51">
      <c r="A51" s="6" t="inlineStr">
        <is>
          <t>Echols</t>
        </is>
      </c>
      <c r="B51" s="7">
        <f>LOWER(SUBSTITUTE(A51," ","-"))</f>
        <v/>
      </c>
      <c r="C51" s="8" t="n"/>
      <c r="D51" s="8" t="n"/>
      <c r="E51" s="8" t="n"/>
      <c r="F51" s="8" t="n"/>
      <c r="G51" s="8" t="n"/>
      <c r="H51" s="8" t="n"/>
      <c r="I51" s="8" t="n"/>
      <c r="J51" s="8" t="n"/>
      <c r="K51" s="8" t="n"/>
      <c r="L51" s="8" t="n"/>
      <c r="M51" s="8" t="n"/>
      <c r="N51" s="8" t="n"/>
      <c r="O51" s="8" t="n"/>
      <c r="P51" s="8" t="n"/>
      <c r="Q51" s="8" t="n"/>
      <c r="R51" s="8" t="n"/>
      <c r="S51" s="8" t="n"/>
      <c r="T51" s="8" t="n"/>
      <c r="U51" s="8" t="n"/>
      <c r="V51" s="6">
        <f>IF(ISBLANK(G51),"Not started",IF(ISBLANK(M51),"Missing source",IF(LEFT(M51,5)="DRAFT","Draft - verify with EDA",IF(ISBLANK(P51),"Missing confidence",IF(ISBLANK(H51),"Missing sub-sector","OK")))))</f>
        <v/>
      </c>
    </row>
    <row r="52">
      <c r="A52" s="6" t="inlineStr">
        <is>
          <t>Effingham</t>
        </is>
      </c>
      <c r="B52" s="7">
        <f>LOWER(SUBSTITUTE(A52," ","-"))</f>
        <v/>
      </c>
      <c r="C52" s="8" t="n"/>
      <c r="D52" s="8" t="n"/>
      <c r="E52" s="8" t="n"/>
      <c r="F52" s="8" t="n"/>
      <c r="G52" s="8" t="n"/>
      <c r="H52" s="8" t="n"/>
      <c r="I52" s="8" t="n"/>
      <c r="J52" s="8" t="n"/>
      <c r="K52" s="8" t="n"/>
      <c r="L52" s="8" t="n"/>
      <c r="M52" s="8" t="n"/>
      <c r="N52" s="8" t="n"/>
      <c r="O52" s="8" t="n"/>
      <c r="P52" s="8" t="n"/>
      <c r="Q52" s="8" t="n"/>
      <c r="R52" s="8" t="n"/>
      <c r="S52" s="8" t="n"/>
      <c r="T52" s="8" t="n"/>
      <c r="U52" s="8" t="n"/>
      <c r="V52" s="6">
        <f>IF(ISBLANK(G52),"Not started",IF(ISBLANK(M52),"Missing source",IF(LEFT(M52,5)="DRAFT","Draft - verify with EDA",IF(ISBLANK(P52),"Missing confidence",IF(ISBLANK(H52),"Missing sub-sector","OK")))))</f>
        <v/>
      </c>
    </row>
    <row r="53">
      <c r="A53" s="6" t="inlineStr">
        <is>
          <t>Elbert</t>
        </is>
      </c>
      <c r="B53" s="7">
        <f>LOWER(SUBSTITUTE(A53," ","-"))</f>
        <v/>
      </c>
      <c r="C53" s="8" t="n"/>
      <c r="D53" s="8" t="n"/>
      <c r="E53" s="8" t="n"/>
      <c r="F53" s="8" t="n"/>
      <c r="G53" s="8" t="n"/>
      <c r="H53" s="8" t="n"/>
      <c r="I53" s="8" t="n"/>
      <c r="J53" s="8" t="n"/>
      <c r="K53" s="8" t="n"/>
      <c r="L53" s="8" t="n"/>
      <c r="M53" s="8" t="n"/>
      <c r="N53" s="8" t="n"/>
      <c r="O53" s="8" t="n"/>
      <c r="P53" s="8" t="n"/>
      <c r="Q53" s="8" t="n"/>
      <c r="R53" s="8" t="n"/>
      <c r="S53" s="8" t="n"/>
      <c r="T53" s="8" t="n"/>
      <c r="U53" s="8" t="n"/>
      <c r="V53" s="6">
        <f>IF(ISBLANK(G53),"Not started",IF(ISBLANK(M53),"Missing source",IF(LEFT(M53,5)="DRAFT","Draft - verify with EDA",IF(ISBLANK(P53),"Missing confidence",IF(ISBLANK(H53),"Missing sub-sector","OK")))))</f>
        <v/>
      </c>
    </row>
    <row r="54">
      <c r="A54" s="6" t="inlineStr">
        <is>
          <t>Emanuel</t>
        </is>
      </c>
      <c r="B54" s="7">
        <f>LOWER(SUBSTITUTE(A54," ","-"))</f>
        <v/>
      </c>
      <c r="C54" s="8" t="n"/>
      <c r="D54" s="8" t="n"/>
      <c r="E54" s="8" t="n"/>
      <c r="F54" s="8" t="n"/>
      <c r="G54" s="8" t="n"/>
      <c r="H54" s="8" t="n"/>
      <c r="I54" s="8" t="n"/>
      <c r="J54" s="8" t="n"/>
      <c r="K54" s="8" t="n"/>
      <c r="L54" s="8" t="n"/>
      <c r="M54" s="8" t="n"/>
      <c r="N54" s="8" t="n"/>
      <c r="O54" s="8" t="n"/>
      <c r="P54" s="8" t="n"/>
      <c r="Q54" s="8" t="n"/>
      <c r="R54" s="8" t="n"/>
      <c r="S54" s="8" t="n"/>
      <c r="T54" s="8" t="n"/>
      <c r="U54" s="8" t="n"/>
      <c r="V54" s="6">
        <f>IF(ISBLANK(G54),"Not started",IF(ISBLANK(M54),"Missing source",IF(LEFT(M54,5)="DRAFT","Draft - verify with EDA",IF(ISBLANK(P54),"Missing confidence",IF(ISBLANK(H54),"Missing sub-sector","OK")))))</f>
        <v/>
      </c>
    </row>
    <row r="55">
      <c r="A55" s="6" t="inlineStr">
        <is>
          <t>Evans</t>
        </is>
      </c>
      <c r="B55" s="7">
        <f>LOWER(SUBSTITUTE(A55," ","-"))</f>
        <v/>
      </c>
      <c r="C55" s="8" t="n"/>
      <c r="D55" s="8" t="n"/>
      <c r="E55" s="8" t="n"/>
      <c r="F55" s="8" t="n"/>
      <c r="G55" s="8" t="n"/>
      <c r="H55" s="8" t="n"/>
      <c r="I55" s="8" t="n"/>
      <c r="J55" s="8" t="n"/>
      <c r="K55" s="8" t="n"/>
      <c r="L55" s="8" t="n"/>
      <c r="M55" s="8" t="n"/>
      <c r="N55" s="8" t="n"/>
      <c r="O55" s="8" t="n"/>
      <c r="P55" s="8" t="n"/>
      <c r="Q55" s="8" t="n"/>
      <c r="R55" s="8" t="n"/>
      <c r="S55" s="8" t="n"/>
      <c r="T55" s="8" t="n"/>
      <c r="U55" s="8" t="n"/>
      <c r="V55" s="6">
        <f>IF(ISBLANK(G55),"Not started",IF(ISBLANK(M55),"Missing source",IF(LEFT(M55,5)="DRAFT","Draft - verify with EDA",IF(ISBLANK(P55),"Missing confidence",IF(ISBLANK(H55),"Missing sub-sector","OK")))))</f>
        <v/>
      </c>
    </row>
    <row r="56">
      <c r="A56" s="6" t="inlineStr">
        <is>
          <t>Fannin</t>
        </is>
      </c>
      <c r="B56" s="7">
        <f>LOWER(SUBSTITUTE(A56," ","-"))</f>
        <v/>
      </c>
      <c r="C56" s="8" t="n"/>
      <c r="D56" s="8" t="n"/>
      <c r="E56" s="8" t="n"/>
      <c r="F56" s="8" t="n"/>
      <c r="G56" s="8" t="n"/>
      <c r="H56" s="8" t="n"/>
      <c r="I56" s="8" t="n"/>
      <c r="J56" s="8" t="n"/>
      <c r="K56" s="8" t="n"/>
      <c r="L56" s="8" t="n"/>
      <c r="M56" s="8" t="n"/>
      <c r="N56" s="8" t="n"/>
      <c r="O56" s="8" t="n"/>
      <c r="P56" s="8" t="n"/>
      <c r="Q56" s="8" t="n"/>
      <c r="R56" s="8" t="n"/>
      <c r="S56" s="8" t="n"/>
      <c r="T56" s="8" t="n"/>
      <c r="U56" s="8" t="n"/>
      <c r="V56" s="6">
        <f>IF(ISBLANK(G56),"Not started",IF(ISBLANK(M56),"Missing source",IF(LEFT(M56,5)="DRAFT","Draft - verify with EDA",IF(ISBLANK(P56),"Missing confidence",IF(ISBLANK(H56),"Missing sub-sector","OK")))))</f>
        <v/>
      </c>
    </row>
    <row r="57">
      <c r="A57" s="6" t="inlineStr">
        <is>
          <t>Fayette</t>
        </is>
      </c>
      <c r="B57" s="7">
        <f>LOWER(SUBSTITUTE(A57," ","-"))</f>
        <v/>
      </c>
      <c r="C57" s="8" t="n"/>
      <c r="D57" s="8" t="n"/>
      <c r="E57" s="8" t="n"/>
      <c r="F57" s="8" t="n"/>
      <c r="G57" s="8" t="n"/>
      <c r="H57" s="8" t="n"/>
      <c r="I57" s="8" t="n"/>
      <c r="J57" s="8" t="n"/>
      <c r="K57" s="8" t="n"/>
      <c r="L57" s="8" t="n"/>
      <c r="M57" s="8" t="n"/>
      <c r="N57" s="8" t="n"/>
      <c r="O57" s="8" t="n"/>
      <c r="P57" s="8" t="n"/>
      <c r="Q57" s="8" t="n"/>
      <c r="R57" s="8" t="n"/>
      <c r="S57" s="8" t="n"/>
      <c r="T57" s="8" t="n"/>
      <c r="U57" s="8" t="n"/>
      <c r="V57" s="6">
        <f>IF(ISBLANK(G57),"Not started",IF(ISBLANK(M57),"Missing source",IF(LEFT(M57,5)="DRAFT","Draft - verify with EDA",IF(ISBLANK(P57),"Missing confidence",IF(ISBLANK(H57),"Missing sub-sector","OK")))))</f>
        <v/>
      </c>
    </row>
    <row r="58">
      <c r="A58" s="6" t="inlineStr">
        <is>
          <t>Floyd</t>
        </is>
      </c>
      <c r="B58" s="7">
        <f>LOWER(SUBSTITUTE(A58," ","-"))</f>
        <v/>
      </c>
      <c r="C58" s="8" t="n"/>
      <c r="D58" s="8" t="n"/>
      <c r="E58" s="8" t="n"/>
      <c r="F58" s="8" t="n"/>
      <c r="G58" s="8" t="n"/>
      <c r="H58" s="8" t="n"/>
      <c r="I58" s="8" t="n"/>
      <c r="J58" s="8" t="n"/>
      <c r="K58" s="8" t="n"/>
      <c r="L58" s="8" t="n"/>
      <c r="M58" s="8" t="n"/>
      <c r="N58" s="8" t="n"/>
      <c r="O58" s="8" t="n"/>
      <c r="P58" s="8" t="n"/>
      <c r="Q58" s="8" t="n"/>
      <c r="R58" s="8" t="n"/>
      <c r="S58" s="8" t="n"/>
      <c r="T58" s="8" t="n"/>
      <c r="U58" s="8" t="n"/>
      <c r="V58" s="6">
        <f>IF(ISBLANK(G58),"Not started",IF(ISBLANK(M58),"Missing source",IF(LEFT(M58,5)="DRAFT","Draft - verify with EDA",IF(ISBLANK(P58),"Missing confidence",IF(ISBLANK(H58),"Missing sub-sector","OK")))))</f>
        <v/>
      </c>
    </row>
    <row r="59">
      <c r="A59" s="6" t="inlineStr">
        <is>
          <t>Forsyth</t>
        </is>
      </c>
      <c r="B59" s="7">
        <f>LOWER(SUBSTITUTE(A59," ","-"))</f>
        <v/>
      </c>
      <c r="C59" s="9" t="n"/>
      <c r="D59" s="9" t="inlineStr">
        <is>
          <t>Cumming</t>
        </is>
      </c>
      <c r="E59" s="9" t="inlineStr">
        <is>
          <t>3 - Atlanta Regional</t>
        </is>
      </c>
      <c r="F59" s="9" t="inlineStr">
        <is>
          <t>Cumming-Forsyth County Chamber of Commerce</t>
        </is>
      </c>
      <c r="G59" s="9" t="inlineStr">
        <is>
          <t>Technology &amp; IT</t>
        </is>
      </c>
      <c r="H59" s="9" t="inlineStr">
        <is>
          <t>Software Development</t>
        </is>
      </c>
      <c r="I59" s="9" t="inlineStr">
        <is>
          <t>Professional Services &amp; HQ</t>
        </is>
      </c>
      <c r="J59" s="9" t="inlineStr">
        <is>
          <t>Corporate Headquarters</t>
        </is>
      </c>
      <c r="K59" s="9" t="inlineStr">
        <is>
          <t>Healthcare</t>
        </is>
      </c>
      <c r="L59" s="9" t="inlineStr">
        <is>
          <t>Hospitals &amp; Health Systems</t>
        </is>
      </c>
      <c r="M59" s="9" t="inlineStr">
        <is>
          <t>DRAFT - to be confirmed with EDA</t>
        </is>
      </c>
      <c r="N59" s="9" t="n"/>
      <c r="O59" s="9" t="n"/>
      <c r="P59" s="9" t="inlineStr">
        <is>
          <t>Low</t>
        </is>
      </c>
      <c r="Q59" s="9" t="n"/>
      <c r="R59" s="9" t="n"/>
      <c r="S59" s="9" t="n"/>
      <c r="T59" s="9" t="n"/>
      <c r="U59" s="9" t="inlineStr">
        <is>
          <t>DRAFT - verify with EDA. Lanier Tech Forsyth Campus in Cumming.</t>
        </is>
      </c>
      <c r="V59" s="6">
        <f>IF(ISBLANK(G59),"Not started",IF(ISBLANK(M59),"Missing source",IF(LEFT(M59,5)="DRAFT","Draft - verify with EDA",IF(ISBLANK(P59),"Missing confidence",IF(ISBLANK(H59),"Missing sub-sector","OK")))))</f>
        <v/>
      </c>
    </row>
    <row r="60">
      <c r="A60" s="6" t="inlineStr">
        <is>
          <t>Franklin</t>
        </is>
      </c>
      <c r="B60" s="7">
        <f>LOWER(SUBSTITUTE(A60," ","-"))</f>
        <v/>
      </c>
      <c r="C60" s="8" t="n"/>
      <c r="D60" s="8" t="n"/>
      <c r="E60" s="8" t="n"/>
      <c r="F60" s="8" t="n"/>
      <c r="G60" s="8" t="n"/>
      <c r="H60" s="8" t="n"/>
      <c r="I60" s="8" t="n"/>
      <c r="J60" s="8" t="n"/>
      <c r="K60" s="8" t="n"/>
      <c r="L60" s="8" t="n"/>
      <c r="M60" s="8" t="n"/>
      <c r="N60" s="8" t="n"/>
      <c r="O60" s="8" t="n"/>
      <c r="P60" s="8" t="n"/>
      <c r="Q60" s="8" t="n"/>
      <c r="R60" s="8" t="n"/>
      <c r="S60" s="8" t="n"/>
      <c r="T60" s="8" t="n"/>
      <c r="U60" s="8" t="n"/>
      <c r="V60" s="6">
        <f>IF(ISBLANK(G60),"Not started",IF(ISBLANK(M60),"Missing source",IF(LEFT(M60,5)="DRAFT","Draft - verify with EDA",IF(ISBLANK(P60),"Missing confidence",IF(ISBLANK(H60),"Missing sub-sector","OK")))))</f>
        <v/>
      </c>
    </row>
    <row r="61">
      <c r="A61" s="6" t="inlineStr">
        <is>
          <t>Fulton</t>
        </is>
      </c>
      <c r="B61" s="7">
        <f>LOWER(SUBSTITUTE(A61," ","-"))</f>
        <v/>
      </c>
      <c r="C61" s="8" t="n"/>
      <c r="D61" s="8" t="n"/>
      <c r="E61" s="8" t="n"/>
      <c r="F61" s="8" t="n"/>
      <c r="G61" s="8" t="n"/>
      <c r="H61" s="8" t="n"/>
      <c r="I61" s="8" t="n"/>
      <c r="J61" s="8" t="n"/>
      <c r="K61" s="8" t="n"/>
      <c r="L61" s="8" t="n"/>
      <c r="M61" s="8" t="n"/>
      <c r="N61" s="8" t="n"/>
      <c r="O61" s="8" t="n"/>
      <c r="P61" s="8" t="n"/>
      <c r="Q61" s="8" t="n"/>
      <c r="R61" s="8" t="n"/>
      <c r="S61" s="8" t="n"/>
      <c r="T61" s="8" t="n"/>
      <c r="U61" s="8" t="n"/>
      <c r="V61" s="6">
        <f>IF(ISBLANK(G61),"Not started",IF(ISBLANK(M61),"Missing source",IF(LEFT(M61,5)="DRAFT","Draft - verify with EDA",IF(ISBLANK(P61),"Missing confidence",IF(ISBLANK(H61),"Missing sub-sector","OK")))))</f>
        <v/>
      </c>
    </row>
    <row r="62">
      <c r="A62" s="6" t="inlineStr">
        <is>
          <t>Gilmer</t>
        </is>
      </c>
      <c r="B62" s="7">
        <f>LOWER(SUBSTITUTE(A62," ","-"))</f>
        <v/>
      </c>
      <c r="C62" s="8" t="n"/>
      <c r="D62" s="8" t="n"/>
      <c r="E62" s="8" t="n"/>
      <c r="F62" s="8" t="n"/>
      <c r="G62" s="8" t="n"/>
      <c r="H62" s="8" t="n"/>
      <c r="I62" s="8" t="n"/>
      <c r="J62" s="8" t="n"/>
      <c r="K62" s="8" t="n"/>
      <c r="L62" s="8" t="n"/>
      <c r="M62" s="8" t="n"/>
      <c r="N62" s="8" t="n"/>
      <c r="O62" s="8" t="n"/>
      <c r="P62" s="8" t="n"/>
      <c r="Q62" s="8" t="n"/>
      <c r="R62" s="8" t="n"/>
      <c r="S62" s="8" t="n"/>
      <c r="T62" s="8" t="n"/>
      <c r="U62" s="8" t="n"/>
      <c r="V62" s="6">
        <f>IF(ISBLANK(G62),"Not started",IF(ISBLANK(M62),"Missing source",IF(LEFT(M62,5)="DRAFT","Draft - verify with EDA",IF(ISBLANK(P62),"Missing confidence",IF(ISBLANK(H62),"Missing sub-sector","OK")))))</f>
        <v/>
      </c>
    </row>
    <row r="63">
      <c r="A63" s="6" t="inlineStr">
        <is>
          <t>Glascock</t>
        </is>
      </c>
      <c r="B63" s="7">
        <f>LOWER(SUBSTITUTE(A63," ","-"))</f>
        <v/>
      </c>
      <c r="C63" s="8" t="n"/>
      <c r="D63" s="8" t="n"/>
      <c r="E63" s="8" t="n"/>
      <c r="F63" s="8" t="n"/>
      <c r="G63" s="8" t="n"/>
      <c r="H63" s="8" t="n"/>
      <c r="I63" s="8" t="n"/>
      <c r="J63" s="8" t="n"/>
      <c r="K63" s="8" t="n"/>
      <c r="L63" s="8" t="n"/>
      <c r="M63" s="8" t="n"/>
      <c r="N63" s="8" t="n"/>
      <c r="O63" s="8" t="n"/>
      <c r="P63" s="8" t="n"/>
      <c r="Q63" s="8" t="n"/>
      <c r="R63" s="8" t="n"/>
      <c r="S63" s="8" t="n"/>
      <c r="T63" s="8" t="n"/>
      <c r="U63" s="8" t="n"/>
      <c r="V63" s="6">
        <f>IF(ISBLANK(G63),"Not started",IF(ISBLANK(M63),"Missing source",IF(LEFT(M63,5)="DRAFT","Draft - verify with EDA",IF(ISBLANK(P63),"Missing confidence",IF(ISBLANK(H63),"Missing sub-sector","OK")))))</f>
        <v/>
      </c>
    </row>
    <row r="64">
      <c r="A64" s="6" t="inlineStr">
        <is>
          <t>Glynn</t>
        </is>
      </c>
      <c r="B64" s="7">
        <f>LOWER(SUBSTITUTE(A64," ","-"))</f>
        <v/>
      </c>
      <c r="C64" s="8" t="n"/>
      <c r="D64" s="8" t="n"/>
      <c r="E64" s="8" t="n"/>
      <c r="F64" s="8" t="n"/>
      <c r="G64" s="8" t="n"/>
      <c r="H64" s="8" t="n"/>
      <c r="I64" s="8" t="n"/>
      <c r="J64" s="8" t="n"/>
      <c r="K64" s="8" t="n"/>
      <c r="L64" s="8" t="n"/>
      <c r="M64" s="8" t="n"/>
      <c r="N64" s="8" t="n"/>
      <c r="O64" s="8" t="n"/>
      <c r="P64" s="8" t="n"/>
      <c r="Q64" s="8" t="n"/>
      <c r="R64" s="8" t="n"/>
      <c r="S64" s="8" t="n"/>
      <c r="T64" s="8" t="n"/>
      <c r="U64" s="8" t="n"/>
      <c r="V64" s="6">
        <f>IF(ISBLANK(G64),"Not started",IF(ISBLANK(M64),"Missing source",IF(LEFT(M64,5)="DRAFT","Draft - verify with EDA",IF(ISBLANK(P64),"Missing confidence",IF(ISBLANK(H64),"Missing sub-sector","OK")))))</f>
        <v/>
      </c>
    </row>
    <row r="65">
      <c r="A65" s="6" t="inlineStr">
        <is>
          <t>Gordon</t>
        </is>
      </c>
      <c r="B65" s="7">
        <f>LOWER(SUBSTITUTE(A65," ","-"))</f>
        <v/>
      </c>
      <c r="C65" s="8" t="n"/>
      <c r="D65" s="8" t="n"/>
      <c r="E65" s="8" t="n"/>
      <c r="F65" s="8" t="n"/>
      <c r="G65" s="8" t="n"/>
      <c r="H65" s="8" t="n"/>
      <c r="I65" s="8" t="n"/>
      <c r="J65" s="8" t="n"/>
      <c r="K65" s="8" t="n"/>
      <c r="L65" s="8" t="n"/>
      <c r="M65" s="8" t="n"/>
      <c r="N65" s="8" t="n"/>
      <c r="O65" s="8" t="n"/>
      <c r="P65" s="8" t="n"/>
      <c r="Q65" s="8" t="n"/>
      <c r="R65" s="8" t="n"/>
      <c r="S65" s="8" t="n"/>
      <c r="T65" s="8" t="n"/>
      <c r="U65" s="8" t="n"/>
      <c r="V65" s="6">
        <f>IF(ISBLANK(G65),"Not started",IF(ISBLANK(M65),"Missing source",IF(LEFT(M65,5)="DRAFT","Draft - verify with EDA",IF(ISBLANK(P65),"Missing confidence",IF(ISBLANK(H65),"Missing sub-sector","OK")))))</f>
        <v/>
      </c>
    </row>
    <row r="66">
      <c r="A66" s="6" t="inlineStr">
        <is>
          <t>Grady</t>
        </is>
      </c>
      <c r="B66" s="7">
        <f>LOWER(SUBSTITUTE(A66," ","-"))</f>
        <v/>
      </c>
      <c r="C66" s="8" t="n"/>
      <c r="D66" s="8" t="n"/>
      <c r="E66" s="8" t="n"/>
      <c r="F66" s="8" t="n"/>
      <c r="G66" s="8" t="n"/>
      <c r="H66" s="8" t="n"/>
      <c r="I66" s="8" t="n"/>
      <c r="J66" s="8" t="n"/>
      <c r="K66" s="8" t="n"/>
      <c r="L66" s="8" t="n"/>
      <c r="M66" s="8" t="n"/>
      <c r="N66" s="8" t="n"/>
      <c r="O66" s="8" t="n"/>
      <c r="P66" s="8" t="n"/>
      <c r="Q66" s="8" t="n"/>
      <c r="R66" s="8" t="n"/>
      <c r="S66" s="8" t="n"/>
      <c r="T66" s="8" t="n"/>
      <c r="U66" s="8" t="n"/>
      <c r="V66" s="6">
        <f>IF(ISBLANK(G66),"Not started",IF(ISBLANK(M66),"Missing source",IF(LEFT(M66,5)="DRAFT","Draft - verify with EDA",IF(ISBLANK(P66),"Missing confidence",IF(ISBLANK(H66),"Missing sub-sector","OK")))))</f>
        <v/>
      </c>
    </row>
    <row r="67">
      <c r="A67" s="6" t="inlineStr">
        <is>
          <t>Greene</t>
        </is>
      </c>
      <c r="B67" s="7">
        <f>LOWER(SUBSTITUTE(A67," ","-"))</f>
        <v/>
      </c>
      <c r="C67" s="8" t="n"/>
      <c r="D67" s="8" t="n"/>
      <c r="E67" s="8" t="n"/>
      <c r="F67" s="8" t="n"/>
      <c r="G67" s="8" t="n"/>
      <c r="H67" s="8" t="n"/>
      <c r="I67" s="8" t="n"/>
      <c r="J67" s="8" t="n"/>
      <c r="K67" s="8" t="n"/>
      <c r="L67" s="8" t="n"/>
      <c r="M67" s="8" t="n"/>
      <c r="N67" s="8" t="n"/>
      <c r="O67" s="8" t="n"/>
      <c r="P67" s="8" t="n"/>
      <c r="Q67" s="8" t="n"/>
      <c r="R67" s="8" t="n"/>
      <c r="S67" s="8" t="n"/>
      <c r="T67" s="8" t="n"/>
      <c r="U67" s="8" t="n"/>
      <c r="V67" s="6">
        <f>IF(ISBLANK(G67),"Not started",IF(ISBLANK(M67),"Missing source",IF(LEFT(M67,5)="DRAFT","Draft - verify with EDA",IF(ISBLANK(P67),"Missing confidence",IF(ISBLANK(H67),"Missing sub-sector","OK")))))</f>
        <v/>
      </c>
    </row>
    <row r="68">
      <c r="A68" s="6" t="inlineStr">
        <is>
          <t>Gwinnett</t>
        </is>
      </c>
      <c r="B68" s="7">
        <f>LOWER(SUBSTITUTE(A68," ","-"))</f>
        <v/>
      </c>
      <c r="C68" s="8" t="n"/>
      <c r="D68" s="8" t="n"/>
      <c r="E68" s="8" t="n"/>
      <c r="F68" s="8" t="n"/>
      <c r="G68" s="8" t="n"/>
      <c r="H68" s="8" t="n"/>
      <c r="I68" s="8" t="n"/>
      <c r="J68" s="8" t="n"/>
      <c r="K68" s="8" t="n"/>
      <c r="L68" s="8" t="n"/>
      <c r="M68" s="8" t="n"/>
      <c r="N68" s="8" t="n"/>
      <c r="O68" s="8" t="n"/>
      <c r="P68" s="8" t="n"/>
      <c r="Q68" s="8" t="n"/>
      <c r="R68" s="8" t="n"/>
      <c r="S68" s="8" t="n"/>
      <c r="T68" s="8" t="n"/>
      <c r="U68" s="8" t="n"/>
      <c r="V68" s="6">
        <f>IF(ISBLANK(G68),"Not started",IF(ISBLANK(M68),"Missing source",IF(LEFT(M68,5)="DRAFT","Draft - verify with EDA",IF(ISBLANK(P68),"Missing confidence",IF(ISBLANK(H68),"Missing sub-sector","OK")))))</f>
        <v/>
      </c>
    </row>
    <row r="69">
      <c r="A69" s="6" t="inlineStr">
        <is>
          <t>Habersham</t>
        </is>
      </c>
      <c r="B69" s="7">
        <f>LOWER(SUBSTITUTE(A69," ","-"))</f>
        <v/>
      </c>
      <c r="C69" s="8" t="n"/>
      <c r="D69" s="8" t="n"/>
      <c r="E69" s="8" t="n"/>
      <c r="F69" s="8" t="n"/>
      <c r="G69" s="8" t="n"/>
      <c r="H69" s="8" t="n"/>
      <c r="I69" s="8" t="n"/>
      <c r="J69" s="8" t="n"/>
      <c r="K69" s="8" t="n"/>
      <c r="L69" s="8" t="n"/>
      <c r="M69" s="8" t="n"/>
      <c r="N69" s="8" t="n"/>
      <c r="O69" s="8" t="n"/>
      <c r="P69" s="8" t="n"/>
      <c r="Q69" s="8" t="n"/>
      <c r="R69" s="8" t="n"/>
      <c r="S69" s="8" t="n"/>
      <c r="T69" s="8" t="n"/>
      <c r="U69" s="8" t="n"/>
      <c r="V69" s="6">
        <f>IF(ISBLANK(G69),"Not started",IF(ISBLANK(M69),"Missing source",IF(LEFT(M69,5)="DRAFT","Draft - verify with EDA",IF(ISBLANK(P69),"Missing confidence",IF(ISBLANK(H69),"Missing sub-sector","OK")))))</f>
        <v/>
      </c>
    </row>
    <row r="70">
      <c r="A70" s="6" t="inlineStr">
        <is>
          <t>Hall</t>
        </is>
      </c>
      <c r="B70" s="7">
        <f>LOWER(SUBSTITUTE(A70," ","-"))</f>
        <v/>
      </c>
      <c r="C70" s="8" t="n"/>
      <c r="D70" s="8" t="n"/>
      <c r="E70" s="8" t="n"/>
      <c r="F70" s="8" t="n"/>
      <c r="G70" s="8" t="n"/>
      <c r="H70" s="8" t="n"/>
      <c r="I70" s="8" t="n"/>
      <c r="J70" s="8" t="n"/>
      <c r="K70" s="8" t="n"/>
      <c r="L70" s="8" t="n"/>
      <c r="M70" s="8" t="n"/>
      <c r="N70" s="8" t="n"/>
      <c r="O70" s="8" t="n"/>
      <c r="P70" s="8" t="n"/>
      <c r="Q70" s="8" t="n"/>
      <c r="R70" s="8" t="n"/>
      <c r="S70" s="8" t="n"/>
      <c r="T70" s="8" t="n"/>
      <c r="U70" s="8" t="n"/>
      <c r="V70" s="6">
        <f>IF(ISBLANK(G70),"Not started",IF(ISBLANK(M70),"Missing source",IF(LEFT(M70,5)="DRAFT","Draft - verify with EDA",IF(ISBLANK(P70),"Missing confidence",IF(ISBLANK(H70),"Missing sub-sector","OK")))))</f>
        <v/>
      </c>
    </row>
    <row r="71">
      <c r="A71" s="6" t="inlineStr">
        <is>
          <t>Hancock</t>
        </is>
      </c>
      <c r="B71" s="7">
        <f>LOWER(SUBSTITUTE(A71," ","-"))</f>
        <v/>
      </c>
      <c r="C71" s="8" t="n"/>
      <c r="D71" s="8" t="n"/>
      <c r="E71" s="8" t="n"/>
      <c r="F71" s="8" t="n"/>
      <c r="G71" s="8" t="n"/>
      <c r="H71" s="8" t="n"/>
      <c r="I71" s="8" t="n"/>
      <c r="J71" s="8" t="n"/>
      <c r="K71" s="8" t="n"/>
      <c r="L71" s="8" t="n"/>
      <c r="M71" s="8" t="n"/>
      <c r="N71" s="8" t="n"/>
      <c r="O71" s="8" t="n"/>
      <c r="P71" s="8" t="n"/>
      <c r="Q71" s="8" t="n"/>
      <c r="R71" s="8" t="n"/>
      <c r="S71" s="8" t="n"/>
      <c r="T71" s="8" t="n"/>
      <c r="U71" s="8" t="n"/>
      <c r="V71" s="6">
        <f>IF(ISBLANK(G71),"Not started",IF(ISBLANK(M71),"Missing source",IF(LEFT(M71,5)="DRAFT","Draft - verify with EDA",IF(ISBLANK(P71),"Missing confidence",IF(ISBLANK(H71),"Missing sub-sector","OK")))))</f>
        <v/>
      </c>
    </row>
    <row r="72">
      <c r="A72" s="6" t="inlineStr">
        <is>
          <t>Haralson</t>
        </is>
      </c>
      <c r="B72" s="7">
        <f>LOWER(SUBSTITUTE(A72," ","-"))</f>
        <v/>
      </c>
      <c r="C72" s="8" t="n"/>
      <c r="D72" s="8" t="n"/>
      <c r="E72" s="8" t="n"/>
      <c r="F72" s="8" t="n"/>
      <c r="G72" s="8" t="n"/>
      <c r="H72" s="8" t="n"/>
      <c r="I72" s="8" t="n"/>
      <c r="J72" s="8" t="n"/>
      <c r="K72" s="8" t="n"/>
      <c r="L72" s="8" t="n"/>
      <c r="M72" s="8" t="n"/>
      <c r="N72" s="8" t="n"/>
      <c r="O72" s="8" t="n"/>
      <c r="P72" s="8" t="n"/>
      <c r="Q72" s="8" t="n"/>
      <c r="R72" s="8" t="n"/>
      <c r="S72" s="8" t="n"/>
      <c r="T72" s="8" t="n"/>
      <c r="U72" s="8" t="n"/>
      <c r="V72" s="6">
        <f>IF(ISBLANK(G72),"Not started",IF(ISBLANK(M72),"Missing source",IF(LEFT(M72,5)="DRAFT","Draft - verify with EDA",IF(ISBLANK(P72),"Missing confidence",IF(ISBLANK(H72),"Missing sub-sector","OK")))))</f>
        <v/>
      </c>
    </row>
    <row r="73">
      <c r="A73" s="6" t="inlineStr">
        <is>
          <t>Harris</t>
        </is>
      </c>
      <c r="B73" s="7">
        <f>LOWER(SUBSTITUTE(A73," ","-"))</f>
        <v/>
      </c>
      <c r="C73" s="8" t="n"/>
      <c r="D73" s="8" t="n"/>
      <c r="E73" s="8" t="n"/>
      <c r="F73" s="8" t="n"/>
      <c r="G73" s="8" t="n"/>
      <c r="H73" s="8" t="n"/>
      <c r="I73" s="8" t="n"/>
      <c r="J73" s="8" t="n"/>
      <c r="K73" s="8" t="n"/>
      <c r="L73" s="8" t="n"/>
      <c r="M73" s="8" t="n"/>
      <c r="N73" s="8" t="n"/>
      <c r="O73" s="8" t="n"/>
      <c r="P73" s="8" t="n"/>
      <c r="Q73" s="8" t="n"/>
      <c r="R73" s="8" t="n"/>
      <c r="S73" s="8" t="n"/>
      <c r="T73" s="8" t="n"/>
      <c r="U73" s="8" t="n"/>
      <c r="V73" s="6">
        <f>IF(ISBLANK(G73),"Not started",IF(ISBLANK(M73),"Missing source",IF(LEFT(M73,5)="DRAFT","Draft - verify with EDA",IF(ISBLANK(P73),"Missing confidence",IF(ISBLANK(H73),"Missing sub-sector","OK")))))</f>
        <v/>
      </c>
    </row>
    <row r="74">
      <c r="A74" s="6" t="inlineStr">
        <is>
          <t>Hart</t>
        </is>
      </c>
      <c r="B74" s="7">
        <f>LOWER(SUBSTITUTE(A74," ","-"))</f>
        <v/>
      </c>
      <c r="C74" s="8" t="n"/>
      <c r="D74" s="8" t="n"/>
      <c r="E74" s="8" t="n"/>
      <c r="F74" s="8" t="n"/>
      <c r="G74" s="8" t="n"/>
      <c r="H74" s="8" t="n"/>
      <c r="I74" s="8" t="n"/>
      <c r="J74" s="8" t="n"/>
      <c r="K74" s="8" t="n"/>
      <c r="L74" s="8" t="n"/>
      <c r="M74" s="8" t="n"/>
      <c r="N74" s="8" t="n"/>
      <c r="O74" s="8" t="n"/>
      <c r="P74" s="8" t="n"/>
      <c r="Q74" s="8" t="n"/>
      <c r="R74" s="8" t="n"/>
      <c r="S74" s="8" t="n"/>
      <c r="T74" s="8" t="n"/>
      <c r="U74" s="8" t="n"/>
      <c r="V74" s="6">
        <f>IF(ISBLANK(G74),"Not started",IF(ISBLANK(M74),"Missing source",IF(LEFT(M74,5)="DRAFT","Draft - verify with EDA",IF(ISBLANK(P74),"Missing confidence",IF(ISBLANK(H74),"Missing sub-sector","OK")))))</f>
        <v/>
      </c>
    </row>
    <row r="75">
      <c r="A75" s="6" t="inlineStr">
        <is>
          <t>Heard</t>
        </is>
      </c>
      <c r="B75" s="7">
        <f>LOWER(SUBSTITUTE(A75," ","-"))</f>
        <v/>
      </c>
      <c r="C75" s="8" t="n"/>
      <c r="D75" s="8" t="n"/>
      <c r="E75" s="8" t="n"/>
      <c r="F75" s="8" t="n"/>
      <c r="G75" s="8" t="n"/>
      <c r="H75" s="8" t="n"/>
      <c r="I75" s="8" t="n"/>
      <c r="J75" s="8" t="n"/>
      <c r="K75" s="8" t="n"/>
      <c r="L75" s="8" t="n"/>
      <c r="M75" s="8" t="n"/>
      <c r="N75" s="8" t="n"/>
      <c r="O75" s="8" t="n"/>
      <c r="P75" s="8" t="n"/>
      <c r="Q75" s="8" t="n"/>
      <c r="R75" s="8" t="n"/>
      <c r="S75" s="8" t="n"/>
      <c r="T75" s="8" t="n"/>
      <c r="U75" s="8" t="n"/>
      <c r="V75" s="6">
        <f>IF(ISBLANK(G75),"Not started",IF(ISBLANK(M75),"Missing source",IF(LEFT(M75,5)="DRAFT","Draft - verify with EDA",IF(ISBLANK(P75),"Missing confidence",IF(ISBLANK(H75),"Missing sub-sector","OK")))))</f>
        <v/>
      </c>
    </row>
    <row r="76">
      <c r="A76" s="6" t="inlineStr">
        <is>
          <t>Henry</t>
        </is>
      </c>
      <c r="B76" s="7">
        <f>LOWER(SUBSTITUTE(A76," ","-"))</f>
        <v/>
      </c>
      <c r="C76" s="8" t="n"/>
      <c r="D76" s="8" t="n"/>
      <c r="E76" s="8" t="n"/>
      <c r="F76" s="8" t="n"/>
      <c r="G76" s="8" t="n"/>
      <c r="H76" s="8" t="n"/>
      <c r="I76" s="8" t="n"/>
      <c r="J76" s="8" t="n"/>
      <c r="K76" s="8" t="n"/>
      <c r="L76" s="8" t="n"/>
      <c r="M76" s="8" t="n"/>
      <c r="N76" s="8" t="n"/>
      <c r="O76" s="8" t="n"/>
      <c r="P76" s="8" t="n"/>
      <c r="Q76" s="8" t="n"/>
      <c r="R76" s="8" t="n"/>
      <c r="S76" s="8" t="n"/>
      <c r="T76" s="8" t="n"/>
      <c r="U76" s="8" t="n"/>
      <c r="V76" s="6">
        <f>IF(ISBLANK(G76),"Not started",IF(ISBLANK(M76),"Missing source",IF(LEFT(M76,5)="DRAFT","Draft - verify with EDA",IF(ISBLANK(P76),"Missing confidence",IF(ISBLANK(H76),"Missing sub-sector","OK")))))</f>
        <v/>
      </c>
    </row>
    <row r="77">
      <c r="A77" s="6" t="inlineStr">
        <is>
          <t>Houston</t>
        </is>
      </c>
      <c r="B77" s="7">
        <f>LOWER(SUBSTITUTE(A77," ","-"))</f>
        <v/>
      </c>
      <c r="C77" s="9" t="n"/>
      <c r="D77" s="9" t="inlineStr">
        <is>
          <t>Perry</t>
        </is>
      </c>
      <c r="E77" s="9" t="inlineStr">
        <is>
          <t>6 - Middle Georgia</t>
        </is>
      </c>
      <c r="F77" s="9" t="inlineStr">
        <is>
          <t>Development Authority of Houston County</t>
        </is>
      </c>
      <c r="G77" s="9" t="inlineStr">
        <is>
          <t>Advanced Manufacturing</t>
        </is>
      </c>
      <c r="H77" s="9" t="inlineStr">
        <is>
          <t>Aerospace &amp; Defense</t>
        </is>
      </c>
      <c r="I77" s="9" t="inlineStr">
        <is>
          <t>Technology &amp; IT</t>
        </is>
      </c>
      <c r="J77" s="9" t="inlineStr">
        <is>
          <t>Cybersecurity</t>
        </is>
      </c>
      <c r="K77" s="9" t="inlineStr">
        <is>
          <t>Healthcare</t>
        </is>
      </c>
      <c r="L77" s="9" t="inlineStr">
        <is>
          <t>Hospitals &amp; Health Systems</t>
        </is>
      </c>
      <c r="M77" s="9" t="inlineStr">
        <is>
          <t>DRAFT - to be confirmed with EDA</t>
        </is>
      </c>
      <c r="N77" s="9" t="n"/>
      <c r="O77" s="9" t="n"/>
      <c r="P77" s="9" t="inlineStr">
        <is>
          <t>Low</t>
        </is>
      </c>
      <c r="Q77" s="9" t="n"/>
      <c r="R77" s="9" t="n"/>
      <c r="S77" s="9" t="n"/>
      <c r="T77" s="9" t="n"/>
      <c r="U77" s="9" t="inlineStr">
        <is>
          <t>DRAFT - verify with EDA. Robins AFB anchors the economy; CGTC and MGSU both in Warner Robins.</t>
        </is>
      </c>
      <c r="V77" s="6">
        <f>IF(ISBLANK(G77),"Not started",IF(ISBLANK(M77),"Missing source",IF(LEFT(M77,5)="DRAFT","Draft - verify with EDA",IF(ISBLANK(P77),"Missing confidence",IF(ISBLANK(H77),"Missing sub-sector","OK")))))</f>
        <v/>
      </c>
    </row>
    <row r="78">
      <c r="A78" s="6" t="inlineStr">
        <is>
          <t>Irwin</t>
        </is>
      </c>
      <c r="B78" s="7">
        <f>LOWER(SUBSTITUTE(A78," ","-"))</f>
        <v/>
      </c>
      <c r="C78" s="8" t="n"/>
      <c r="D78" s="8" t="n"/>
      <c r="E78" s="8" t="n"/>
      <c r="F78" s="8" t="n"/>
      <c r="G78" s="8" t="n"/>
      <c r="H78" s="8" t="n"/>
      <c r="I78" s="8" t="n"/>
      <c r="J78" s="8" t="n"/>
      <c r="K78" s="8" t="n"/>
      <c r="L78" s="8" t="n"/>
      <c r="M78" s="8" t="n"/>
      <c r="N78" s="8" t="n"/>
      <c r="O78" s="8" t="n"/>
      <c r="P78" s="8" t="n"/>
      <c r="Q78" s="8" t="n"/>
      <c r="R78" s="8" t="n"/>
      <c r="S78" s="8" t="n"/>
      <c r="T78" s="8" t="n"/>
      <c r="U78" s="8" t="n"/>
      <c r="V78" s="6">
        <f>IF(ISBLANK(G78),"Not started",IF(ISBLANK(M78),"Missing source",IF(LEFT(M78,5)="DRAFT","Draft - verify with EDA",IF(ISBLANK(P78),"Missing confidence",IF(ISBLANK(H78),"Missing sub-sector","OK")))))</f>
        <v/>
      </c>
    </row>
    <row r="79">
      <c r="A79" s="6" t="inlineStr">
        <is>
          <t>Jackson</t>
        </is>
      </c>
      <c r="B79" s="7">
        <f>LOWER(SUBSTITUTE(A79," ","-"))</f>
        <v/>
      </c>
      <c r="C79" s="9" t="n"/>
      <c r="D79" s="9" t="inlineStr">
        <is>
          <t>Jefferson</t>
        </is>
      </c>
      <c r="E79" s="9" t="inlineStr">
        <is>
          <t>2 - Georgia Mountains</t>
        </is>
      </c>
      <c r="F79" s="9" t="inlineStr">
        <is>
          <t>Jackson County Area Chamber of Commerce</t>
        </is>
      </c>
      <c r="G79" s="9" t="inlineStr">
        <is>
          <t>Advanced Manufacturing</t>
        </is>
      </c>
      <c r="H79" s="9" t="inlineStr">
        <is>
          <t>Automotive &amp; EV</t>
        </is>
      </c>
      <c r="I79" s="9" t="inlineStr">
        <is>
          <t>Professional Services &amp; HQ</t>
        </is>
      </c>
      <c r="J79" s="9" t="inlineStr">
        <is>
          <t>Logistics &amp; Supply Chain Management</t>
        </is>
      </c>
      <c r="K79" s="9" t="inlineStr">
        <is>
          <t>Healthcare</t>
        </is>
      </c>
      <c r="L79" s="9" t="inlineStr">
        <is>
          <t>Hospitals &amp; Health Systems</t>
        </is>
      </c>
      <c r="M79" s="9" t="inlineStr">
        <is>
          <t>DRAFT - to be confirmed with EDA</t>
        </is>
      </c>
      <c r="N79" s="9" t="n"/>
      <c r="O79" s="9" t="n"/>
      <c r="P79" s="9" t="inlineStr">
        <is>
          <t>Low</t>
        </is>
      </c>
      <c r="Q79" s="9" t="n"/>
      <c r="R79" s="9" t="n"/>
      <c r="S79" s="9" t="n"/>
      <c r="T79" s="9" t="n"/>
      <c r="U79" s="9" t="inlineStr">
        <is>
          <t>DRAFT - verify with EDA. SK Battery America in Commerce; Quick Start + Lanier Tech trained ~2,600.</t>
        </is>
      </c>
      <c r="V79" s="6">
        <f>IF(ISBLANK(G79),"Not started",IF(ISBLANK(M79),"Missing source",IF(LEFT(M79,5)="DRAFT","Draft - verify with EDA",IF(ISBLANK(P79),"Missing confidence",IF(ISBLANK(H79),"Missing sub-sector","OK")))))</f>
        <v/>
      </c>
    </row>
    <row r="80">
      <c r="A80" s="6" t="inlineStr">
        <is>
          <t>Jasper</t>
        </is>
      </c>
      <c r="B80" s="7">
        <f>LOWER(SUBSTITUTE(A80," ","-"))</f>
        <v/>
      </c>
      <c r="C80" s="8" t="n"/>
      <c r="D80" s="8" t="n"/>
      <c r="E80" s="8" t="n"/>
      <c r="F80" s="8" t="n"/>
      <c r="G80" s="8" t="n"/>
      <c r="H80" s="8" t="n"/>
      <c r="I80" s="8" t="n"/>
      <c r="J80" s="8" t="n"/>
      <c r="K80" s="8" t="n"/>
      <c r="L80" s="8" t="n"/>
      <c r="M80" s="8" t="n"/>
      <c r="N80" s="8" t="n"/>
      <c r="O80" s="8" t="n"/>
      <c r="P80" s="8" t="n"/>
      <c r="Q80" s="8" t="n"/>
      <c r="R80" s="8" t="n"/>
      <c r="S80" s="8" t="n"/>
      <c r="T80" s="8" t="n"/>
      <c r="U80" s="8" t="n"/>
      <c r="V80" s="6">
        <f>IF(ISBLANK(G80),"Not started",IF(ISBLANK(M80),"Missing source",IF(LEFT(M80,5)="DRAFT","Draft - verify with EDA",IF(ISBLANK(P80),"Missing confidence",IF(ISBLANK(H80),"Missing sub-sector","OK")))))</f>
        <v/>
      </c>
    </row>
    <row r="81">
      <c r="A81" s="6" t="inlineStr">
        <is>
          <t>Jeff Davis</t>
        </is>
      </c>
      <c r="B81" s="7">
        <f>LOWER(SUBSTITUTE(A81," ","-"))</f>
        <v/>
      </c>
      <c r="C81" s="8" t="n"/>
      <c r="D81" s="8" t="n"/>
      <c r="E81" s="8" t="n"/>
      <c r="F81" s="8" t="n"/>
      <c r="G81" s="8" t="n"/>
      <c r="H81" s="8" t="n"/>
      <c r="I81" s="8" t="n"/>
      <c r="J81" s="8" t="n"/>
      <c r="K81" s="8" t="n"/>
      <c r="L81" s="8" t="n"/>
      <c r="M81" s="8" t="n"/>
      <c r="N81" s="8" t="n"/>
      <c r="O81" s="8" t="n"/>
      <c r="P81" s="8" t="n"/>
      <c r="Q81" s="8" t="n"/>
      <c r="R81" s="8" t="n"/>
      <c r="S81" s="8" t="n"/>
      <c r="T81" s="8" t="n"/>
      <c r="U81" s="8" t="n"/>
      <c r="V81" s="6">
        <f>IF(ISBLANK(G81),"Not started",IF(ISBLANK(M81),"Missing source",IF(LEFT(M81,5)="DRAFT","Draft - verify with EDA",IF(ISBLANK(P81),"Missing confidence",IF(ISBLANK(H81),"Missing sub-sector","OK")))))</f>
        <v/>
      </c>
    </row>
    <row r="82">
      <c r="A82" s="6" t="inlineStr">
        <is>
          <t>Jefferson</t>
        </is>
      </c>
      <c r="B82" s="7">
        <f>LOWER(SUBSTITUTE(A82," ","-"))</f>
        <v/>
      </c>
      <c r="C82" s="8" t="n"/>
      <c r="D82" s="8" t="n"/>
      <c r="E82" s="8" t="n"/>
      <c r="F82" s="8" t="n"/>
      <c r="G82" s="8" t="n"/>
      <c r="H82" s="8" t="n"/>
      <c r="I82" s="8" t="n"/>
      <c r="J82" s="8" t="n"/>
      <c r="K82" s="8" t="n"/>
      <c r="L82" s="8" t="n"/>
      <c r="M82" s="8" t="n"/>
      <c r="N82" s="8" t="n"/>
      <c r="O82" s="8" t="n"/>
      <c r="P82" s="8" t="n"/>
      <c r="Q82" s="8" t="n"/>
      <c r="R82" s="8" t="n"/>
      <c r="S82" s="8" t="n"/>
      <c r="T82" s="8" t="n"/>
      <c r="U82" s="8" t="n"/>
      <c r="V82" s="6">
        <f>IF(ISBLANK(G82),"Not started",IF(ISBLANK(M82),"Missing source",IF(LEFT(M82,5)="DRAFT","Draft - verify with EDA",IF(ISBLANK(P82),"Missing confidence",IF(ISBLANK(H82),"Missing sub-sector","OK")))))</f>
        <v/>
      </c>
    </row>
    <row r="83">
      <c r="A83" s="6" t="inlineStr">
        <is>
          <t>Jenkins</t>
        </is>
      </c>
      <c r="B83" s="7">
        <f>LOWER(SUBSTITUTE(A83," ","-"))</f>
        <v/>
      </c>
      <c r="C83" s="8" t="n"/>
      <c r="D83" s="8" t="n"/>
      <c r="E83" s="8" t="n"/>
      <c r="F83" s="8" t="n"/>
      <c r="G83" s="8" t="n"/>
      <c r="H83" s="8" t="n"/>
      <c r="I83" s="8" t="n"/>
      <c r="J83" s="8" t="n"/>
      <c r="K83" s="8" t="n"/>
      <c r="L83" s="8" t="n"/>
      <c r="M83" s="8" t="n"/>
      <c r="N83" s="8" t="n"/>
      <c r="O83" s="8" t="n"/>
      <c r="P83" s="8" t="n"/>
      <c r="Q83" s="8" t="n"/>
      <c r="R83" s="8" t="n"/>
      <c r="S83" s="8" t="n"/>
      <c r="T83" s="8" t="n"/>
      <c r="U83" s="8" t="n"/>
      <c r="V83" s="6">
        <f>IF(ISBLANK(G83),"Not started",IF(ISBLANK(M83),"Missing source",IF(LEFT(M83,5)="DRAFT","Draft - verify with EDA",IF(ISBLANK(P83),"Missing confidence",IF(ISBLANK(H83),"Missing sub-sector","OK")))))</f>
        <v/>
      </c>
    </row>
    <row r="84">
      <c r="A84" s="6" t="inlineStr">
        <is>
          <t>Johnson</t>
        </is>
      </c>
      <c r="B84" s="7">
        <f>LOWER(SUBSTITUTE(A84," ","-"))</f>
        <v/>
      </c>
      <c r="C84" s="8" t="n"/>
      <c r="D84" s="8" t="n"/>
      <c r="E84" s="8" t="n"/>
      <c r="F84" s="8" t="n"/>
      <c r="G84" s="8" t="n"/>
      <c r="H84" s="8" t="n"/>
      <c r="I84" s="8" t="n"/>
      <c r="J84" s="8" t="n"/>
      <c r="K84" s="8" t="n"/>
      <c r="L84" s="8" t="n"/>
      <c r="M84" s="8" t="n"/>
      <c r="N84" s="8" t="n"/>
      <c r="O84" s="8" t="n"/>
      <c r="P84" s="8" t="n"/>
      <c r="Q84" s="8" t="n"/>
      <c r="R84" s="8" t="n"/>
      <c r="S84" s="8" t="n"/>
      <c r="T84" s="8" t="n"/>
      <c r="U84" s="8" t="n"/>
      <c r="V84" s="6">
        <f>IF(ISBLANK(G84),"Not started",IF(ISBLANK(M84),"Missing source",IF(LEFT(M84,5)="DRAFT","Draft - verify with EDA",IF(ISBLANK(P84),"Missing confidence",IF(ISBLANK(H84),"Missing sub-sector","OK")))))</f>
        <v/>
      </c>
    </row>
    <row r="85">
      <c r="A85" s="6" t="inlineStr">
        <is>
          <t>Jones</t>
        </is>
      </c>
      <c r="B85" s="7">
        <f>LOWER(SUBSTITUTE(A85," ","-"))</f>
        <v/>
      </c>
      <c r="C85" s="8" t="n"/>
      <c r="D85" s="8" t="n"/>
      <c r="E85" s="8" t="n"/>
      <c r="F85" s="8" t="n"/>
      <c r="G85" s="8" t="n"/>
      <c r="H85" s="8" t="n"/>
      <c r="I85" s="8" t="n"/>
      <c r="J85" s="8" t="n"/>
      <c r="K85" s="8" t="n"/>
      <c r="L85" s="8" t="n"/>
      <c r="M85" s="8" t="n"/>
      <c r="N85" s="8" t="n"/>
      <c r="O85" s="8" t="n"/>
      <c r="P85" s="8" t="n"/>
      <c r="Q85" s="8" t="n"/>
      <c r="R85" s="8" t="n"/>
      <c r="S85" s="8" t="n"/>
      <c r="T85" s="8" t="n"/>
      <c r="U85" s="8" t="n"/>
      <c r="V85" s="6">
        <f>IF(ISBLANK(G85),"Not started",IF(ISBLANK(M85),"Missing source",IF(LEFT(M85,5)="DRAFT","Draft - verify with EDA",IF(ISBLANK(P85),"Missing confidence",IF(ISBLANK(H85),"Missing sub-sector","OK")))))</f>
        <v/>
      </c>
    </row>
    <row r="86">
      <c r="A86" s="6" t="inlineStr">
        <is>
          <t>Lamar</t>
        </is>
      </c>
      <c r="B86" s="7">
        <f>LOWER(SUBSTITUTE(A86," ","-"))</f>
        <v/>
      </c>
      <c r="C86" s="8" t="n"/>
      <c r="D86" s="8" t="n"/>
      <c r="E86" s="8" t="n"/>
      <c r="F86" s="8" t="n"/>
      <c r="G86" s="8" t="n"/>
      <c r="H86" s="8" t="n"/>
      <c r="I86" s="8" t="n"/>
      <c r="J86" s="8" t="n"/>
      <c r="K86" s="8" t="n"/>
      <c r="L86" s="8" t="n"/>
      <c r="M86" s="8" t="n"/>
      <c r="N86" s="8" t="n"/>
      <c r="O86" s="8" t="n"/>
      <c r="P86" s="8" t="n"/>
      <c r="Q86" s="8" t="n"/>
      <c r="R86" s="8" t="n"/>
      <c r="S86" s="8" t="n"/>
      <c r="T86" s="8" t="n"/>
      <c r="U86" s="8" t="n"/>
      <c r="V86" s="6">
        <f>IF(ISBLANK(G86),"Not started",IF(ISBLANK(M86),"Missing source",IF(LEFT(M86,5)="DRAFT","Draft - verify with EDA",IF(ISBLANK(P86),"Missing confidence",IF(ISBLANK(H86),"Missing sub-sector","OK")))))</f>
        <v/>
      </c>
    </row>
    <row r="87">
      <c r="A87" s="6" t="inlineStr">
        <is>
          <t>Lanier</t>
        </is>
      </c>
      <c r="B87" s="7">
        <f>LOWER(SUBSTITUTE(A87," ","-"))</f>
        <v/>
      </c>
      <c r="C87" s="8" t="n"/>
      <c r="D87" s="8" t="n"/>
      <c r="E87" s="8" t="n"/>
      <c r="F87" s="8" t="n"/>
      <c r="G87" s="8" t="n"/>
      <c r="H87" s="8" t="n"/>
      <c r="I87" s="8" t="n"/>
      <c r="J87" s="8" t="n"/>
      <c r="K87" s="8" t="n"/>
      <c r="L87" s="8" t="n"/>
      <c r="M87" s="8" t="n"/>
      <c r="N87" s="8" t="n"/>
      <c r="O87" s="8" t="n"/>
      <c r="P87" s="8" t="n"/>
      <c r="Q87" s="8" t="n"/>
      <c r="R87" s="8" t="n"/>
      <c r="S87" s="8" t="n"/>
      <c r="T87" s="8" t="n"/>
      <c r="U87" s="8" t="n"/>
      <c r="V87" s="6">
        <f>IF(ISBLANK(G87),"Not started",IF(ISBLANK(M87),"Missing source",IF(LEFT(M87,5)="DRAFT","Draft - verify with EDA",IF(ISBLANK(P87),"Missing confidence",IF(ISBLANK(H87),"Missing sub-sector","OK")))))</f>
        <v/>
      </c>
    </row>
    <row r="88">
      <c r="A88" s="6" t="inlineStr">
        <is>
          <t>Laurens</t>
        </is>
      </c>
      <c r="B88" s="7">
        <f>LOWER(SUBSTITUTE(A88," ","-"))</f>
        <v/>
      </c>
      <c r="C88" s="8" t="n"/>
      <c r="D88" s="8" t="n"/>
      <c r="E88" s="8" t="n"/>
      <c r="F88" s="8" t="n"/>
      <c r="G88" s="8" t="n"/>
      <c r="H88" s="8" t="n"/>
      <c r="I88" s="8" t="n"/>
      <c r="J88" s="8" t="n"/>
      <c r="K88" s="8" t="n"/>
      <c r="L88" s="8" t="n"/>
      <c r="M88" s="8" t="n"/>
      <c r="N88" s="8" t="n"/>
      <c r="O88" s="8" t="n"/>
      <c r="P88" s="8" t="n"/>
      <c r="Q88" s="8" t="n"/>
      <c r="R88" s="8" t="n"/>
      <c r="S88" s="8" t="n"/>
      <c r="T88" s="8" t="n"/>
      <c r="U88" s="8" t="n"/>
      <c r="V88" s="6">
        <f>IF(ISBLANK(G88),"Not started",IF(ISBLANK(M88),"Missing source",IF(LEFT(M88,5)="DRAFT","Draft - verify with EDA",IF(ISBLANK(P88),"Missing confidence",IF(ISBLANK(H88),"Missing sub-sector","OK")))))</f>
        <v/>
      </c>
    </row>
    <row r="89">
      <c r="A89" s="6" t="inlineStr">
        <is>
          <t>Lee</t>
        </is>
      </c>
      <c r="B89" s="7">
        <f>LOWER(SUBSTITUTE(A89," ","-"))</f>
        <v/>
      </c>
      <c r="C89" s="8" t="n"/>
      <c r="D89" s="8" t="n"/>
      <c r="E89" s="8" t="n"/>
      <c r="F89" s="8" t="n"/>
      <c r="G89" s="8" t="n"/>
      <c r="H89" s="8" t="n"/>
      <c r="I89" s="8" t="n"/>
      <c r="J89" s="8" t="n"/>
      <c r="K89" s="8" t="n"/>
      <c r="L89" s="8" t="n"/>
      <c r="M89" s="8" t="n"/>
      <c r="N89" s="8" t="n"/>
      <c r="O89" s="8" t="n"/>
      <c r="P89" s="8" t="n"/>
      <c r="Q89" s="8" t="n"/>
      <c r="R89" s="8" t="n"/>
      <c r="S89" s="8" t="n"/>
      <c r="T89" s="8" t="n"/>
      <c r="U89" s="8" t="n"/>
      <c r="V89" s="6">
        <f>IF(ISBLANK(G89),"Not started",IF(ISBLANK(M89),"Missing source",IF(LEFT(M89,5)="DRAFT","Draft - verify with EDA",IF(ISBLANK(P89),"Missing confidence",IF(ISBLANK(H89),"Missing sub-sector","OK")))))</f>
        <v/>
      </c>
    </row>
    <row r="90">
      <c r="A90" s="6" t="inlineStr">
        <is>
          <t>Liberty</t>
        </is>
      </c>
      <c r="B90" s="7">
        <f>LOWER(SUBSTITUTE(A90," ","-"))</f>
        <v/>
      </c>
      <c r="C90" s="8" t="n"/>
      <c r="D90" s="8" t="n"/>
      <c r="E90" s="8" t="n"/>
      <c r="F90" s="8" t="n"/>
      <c r="G90" s="8" t="n"/>
      <c r="H90" s="8" t="n"/>
      <c r="I90" s="8" t="n"/>
      <c r="J90" s="8" t="n"/>
      <c r="K90" s="8" t="n"/>
      <c r="L90" s="8" t="n"/>
      <c r="M90" s="8" t="n"/>
      <c r="N90" s="8" t="n"/>
      <c r="O90" s="8" t="n"/>
      <c r="P90" s="8" t="n"/>
      <c r="Q90" s="8" t="n"/>
      <c r="R90" s="8" t="n"/>
      <c r="S90" s="8" t="n"/>
      <c r="T90" s="8" t="n"/>
      <c r="U90" s="8" t="n"/>
      <c r="V90" s="6">
        <f>IF(ISBLANK(G90),"Not started",IF(ISBLANK(M90),"Missing source",IF(LEFT(M90,5)="DRAFT","Draft - verify with EDA",IF(ISBLANK(P90),"Missing confidence",IF(ISBLANK(H90),"Missing sub-sector","OK")))))</f>
        <v/>
      </c>
    </row>
    <row r="91">
      <c r="A91" s="6" t="inlineStr">
        <is>
          <t>Lincoln</t>
        </is>
      </c>
      <c r="B91" s="7">
        <f>LOWER(SUBSTITUTE(A91," ","-"))</f>
        <v/>
      </c>
      <c r="C91" s="8" t="n"/>
      <c r="D91" s="8" t="n"/>
      <c r="E91" s="8" t="n"/>
      <c r="F91" s="8" t="n"/>
      <c r="G91" s="8" t="n"/>
      <c r="H91" s="8" t="n"/>
      <c r="I91" s="8" t="n"/>
      <c r="J91" s="8" t="n"/>
      <c r="K91" s="8" t="n"/>
      <c r="L91" s="8" t="n"/>
      <c r="M91" s="8" t="n"/>
      <c r="N91" s="8" t="n"/>
      <c r="O91" s="8" t="n"/>
      <c r="P91" s="8" t="n"/>
      <c r="Q91" s="8" t="n"/>
      <c r="R91" s="8" t="n"/>
      <c r="S91" s="8" t="n"/>
      <c r="T91" s="8" t="n"/>
      <c r="U91" s="8" t="n"/>
      <c r="V91" s="6">
        <f>IF(ISBLANK(G91),"Not started",IF(ISBLANK(M91),"Missing source",IF(LEFT(M91,5)="DRAFT","Draft - verify with EDA",IF(ISBLANK(P91),"Missing confidence",IF(ISBLANK(H91),"Missing sub-sector","OK")))))</f>
        <v/>
      </c>
    </row>
    <row r="92">
      <c r="A92" s="6" t="inlineStr">
        <is>
          <t>Long</t>
        </is>
      </c>
      <c r="B92" s="7">
        <f>LOWER(SUBSTITUTE(A92," ","-"))</f>
        <v/>
      </c>
      <c r="C92" s="8" t="n"/>
      <c r="D92" s="8" t="n"/>
      <c r="E92" s="8" t="n"/>
      <c r="F92" s="8" t="n"/>
      <c r="G92" s="8" t="n"/>
      <c r="H92" s="8" t="n"/>
      <c r="I92" s="8" t="n"/>
      <c r="J92" s="8" t="n"/>
      <c r="K92" s="8" t="n"/>
      <c r="L92" s="8" t="n"/>
      <c r="M92" s="8" t="n"/>
      <c r="N92" s="8" t="n"/>
      <c r="O92" s="8" t="n"/>
      <c r="P92" s="8" t="n"/>
      <c r="Q92" s="8" t="n"/>
      <c r="R92" s="8" t="n"/>
      <c r="S92" s="8" t="n"/>
      <c r="T92" s="8" t="n"/>
      <c r="U92" s="8" t="n"/>
      <c r="V92" s="6">
        <f>IF(ISBLANK(G92),"Not started",IF(ISBLANK(M92),"Missing source",IF(LEFT(M92,5)="DRAFT","Draft - verify with EDA",IF(ISBLANK(P92),"Missing confidence",IF(ISBLANK(H92),"Missing sub-sector","OK")))))</f>
        <v/>
      </c>
    </row>
    <row r="93">
      <c r="A93" s="6" t="inlineStr">
        <is>
          <t>Lowndes</t>
        </is>
      </c>
      <c r="B93" s="7">
        <f>LOWER(SUBSTITUTE(A93," ","-"))</f>
        <v/>
      </c>
      <c r="C93" s="8" t="n"/>
      <c r="D93" s="8" t="n"/>
      <c r="E93" s="8" t="n"/>
      <c r="F93" s="8" t="n"/>
      <c r="G93" s="8" t="n"/>
      <c r="H93" s="8" t="n"/>
      <c r="I93" s="8" t="n"/>
      <c r="J93" s="8" t="n"/>
      <c r="K93" s="8" t="n"/>
      <c r="L93" s="8" t="n"/>
      <c r="M93" s="8" t="n"/>
      <c r="N93" s="8" t="n"/>
      <c r="O93" s="8" t="n"/>
      <c r="P93" s="8" t="n"/>
      <c r="Q93" s="8" t="n"/>
      <c r="R93" s="8" t="n"/>
      <c r="S93" s="8" t="n"/>
      <c r="T93" s="8" t="n"/>
      <c r="U93" s="8" t="n"/>
      <c r="V93" s="6">
        <f>IF(ISBLANK(G93),"Not started",IF(ISBLANK(M93),"Missing source",IF(LEFT(M93,5)="DRAFT","Draft - verify with EDA",IF(ISBLANK(P93),"Missing confidence",IF(ISBLANK(H93),"Missing sub-sector","OK")))))</f>
        <v/>
      </c>
    </row>
    <row r="94">
      <c r="A94" s="6" t="inlineStr">
        <is>
          <t>Lumpkin</t>
        </is>
      </c>
      <c r="B94" s="7">
        <f>LOWER(SUBSTITUTE(A94," ","-"))</f>
        <v/>
      </c>
      <c r="C94" s="8" t="n"/>
      <c r="D94" s="8" t="n"/>
      <c r="E94" s="8" t="n"/>
      <c r="F94" s="8" t="n"/>
      <c r="G94" s="8" t="n"/>
      <c r="H94" s="8" t="n"/>
      <c r="I94" s="8" t="n"/>
      <c r="J94" s="8" t="n"/>
      <c r="K94" s="8" t="n"/>
      <c r="L94" s="8" t="n"/>
      <c r="M94" s="8" t="n"/>
      <c r="N94" s="8" t="n"/>
      <c r="O94" s="8" t="n"/>
      <c r="P94" s="8" t="n"/>
      <c r="Q94" s="8" t="n"/>
      <c r="R94" s="8" t="n"/>
      <c r="S94" s="8" t="n"/>
      <c r="T94" s="8" t="n"/>
      <c r="U94" s="8" t="n"/>
      <c r="V94" s="6">
        <f>IF(ISBLANK(G94),"Not started",IF(ISBLANK(M94),"Missing source",IF(LEFT(M94,5)="DRAFT","Draft - verify with EDA",IF(ISBLANK(P94),"Missing confidence",IF(ISBLANK(H94),"Missing sub-sector","OK")))))</f>
        <v/>
      </c>
    </row>
    <row r="95">
      <c r="A95" s="6" t="inlineStr">
        <is>
          <t>Macon</t>
        </is>
      </c>
      <c r="B95" s="7">
        <f>LOWER(SUBSTITUTE(A95," ","-"))</f>
        <v/>
      </c>
      <c r="C95" s="8" t="n"/>
      <c r="D95" s="8" t="n"/>
      <c r="E95" s="8" t="n"/>
      <c r="F95" s="8" t="n"/>
      <c r="G95" s="8" t="n"/>
      <c r="H95" s="8" t="n"/>
      <c r="I95" s="8" t="n"/>
      <c r="J95" s="8" t="n"/>
      <c r="K95" s="8" t="n"/>
      <c r="L95" s="8" t="n"/>
      <c r="M95" s="8" t="n"/>
      <c r="N95" s="8" t="n"/>
      <c r="O95" s="8" t="n"/>
      <c r="P95" s="8" t="n"/>
      <c r="Q95" s="8" t="n"/>
      <c r="R95" s="8" t="n"/>
      <c r="S95" s="8" t="n"/>
      <c r="T95" s="8" t="n"/>
      <c r="U95" s="8" t="n"/>
      <c r="V95" s="6">
        <f>IF(ISBLANK(G95),"Not started",IF(ISBLANK(M95),"Missing source",IF(LEFT(M95,5)="DRAFT","Draft - verify with EDA",IF(ISBLANK(P95),"Missing confidence",IF(ISBLANK(H95),"Missing sub-sector","OK")))))</f>
        <v/>
      </c>
    </row>
    <row r="96">
      <c r="A96" s="6" t="inlineStr">
        <is>
          <t>Madison</t>
        </is>
      </c>
      <c r="B96" s="7">
        <f>LOWER(SUBSTITUTE(A96," ","-"))</f>
        <v/>
      </c>
      <c r="C96" s="8" t="n"/>
      <c r="D96" s="8" t="n"/>
      <c r="E96" s="8" t="n"/>
      <c r="F96" s="8" t="n"/>
      <c r="G96" s="8" t="n"/>
      <c r="H96" s="8" t="n"/>
      <c r="I96" s="8" t="n"/>
      <c r="J96" s="8" t="n"/>
      <c r="K96" s="8" t="n"/>
      <c r="L96" s="8" t="n"/>
      <c r="M96" s="8" t="n"/>
      <c r="N96" s="8" t="n"/>
      <c r="O96" s="8" t="n"/>
      <c r="P96" s="8" t="n"/>
      <c r="Q96" s="8" t="n"/>
      <c r="R96" s="8" t="n"/>
      <c r="S96" s="8" t="n"/>
      <c r="T96" s="8" t="n"/>
      <c r="U96" s="8" t="n"/>
      <c r="V96" s="6">
        <f>IF(ISBLANK(G96),"Not started",IF(ISBLANK(M96),"Missing source",IF(LEFT(M96,5)="DRAFT","Draft - verify with EDA",IF(ISBLANK(P96),"Missing confidence",IF(ISBLANK(H96),"Missing sub-sector","OK")))))</f>
        <v/>
      </c>
    </row>
    <row r="97">
      <c r="A97" s="6" t="inlineStr">
        <is>
          <t>Marion</t>
        </is>
      </c>
      <c r="B97" s="7">
        <f>LOWER(SUBSTITUTE(A97," ","-"))</f>
        <v/>
      </c>
      <c r="C97" s="8" t="n"/>
      <c r="D97" s="8" t="n"/>
      <c r="E97" s="8" t="n"/>
      <c r="F97" s="8" t="n"/>
      <c r="G97" s="8" t="n"/>
      <c r="H97" s="8" t="n"/>
      <c r="I97" s="8" t="n"/>
      <c r="J97" s="8" t="n"/>
      <c r="K97" s="8" t="n"/>
      <c r="L97" s="8" t="n"/>
      <c r="M97" s="8" t="n"/>
      <c r="N97" s="8" t="n"/>
      <c r="O97" s="8" t="n"/>
      <c r="P97" s="8" t="n"/>
      <c r="Q97" s="8" t="n"/>
      <c r="R97" s="8" t="n"/>
      <c r="S97" s="8" t="n"/>
      <c r="T97" s="8" t="n"/>
      <c r="U97" s="8" t="n"/>
      <c r="V97" s="6">
        <f>IF(ISBLANK(G97),"Not started",IF(ISBLANK(M97),"Missing source",IF(LEFT(M97,5)="DRAFT","Draft - verify with EDA",IF(ISBLANK(P97),"Missing confidence",IF(ISBLANK(H97),"Missing sub-sector","OK")))))</f>
        <v/>
      </c>
    </row>
    <row r="98">
      <c r="A98" s="6" t="inlineStr">
        <is>
          <t>McDuffie</t>
        </is>
      </c>
      <c r="B98" s="7">
        <f>LOWER(SUBSTITUTE(A98," ","-"))</f>
        <v/>
      </c>
      <c r="C98" s="8" t="n"/>
      <c r="D98" s="8" t="n"/>
      <c r="E98" s="8" t="n"/>
      <c r="F98" s="8" t="n"/>
      <c r="G98" s="8" t="n"/>
      <c r="H98" s="8" t="n"/>
      <c r="I98" s="8" t="n"/>
      <c r="J98" s="8" t="n"/>
      <c r="K98" s="8" t="n"/>
      <c r="L98" s="8" t="n"/>
      <c r="M98" s="8" t="n"/>
      <c r="N98" s="8" t="n"/>
      <c r="O98" s="8" t="n"/>
      <c r="P98" s="8" t="n"/>
      <c r="Q98" s="8" t="n"/>
      <c r="R98" s="8" t="n"/>
      <c r="S98" s="8" t="n"/>
      <c r="T98" s="8" t="n"/>
      <c r="U98" s="8" t="n"/>
      <c r="V98" s="6">
        <f>IF(ISBLANK(G98),"Not started",IF(ISBLANK(M98),"Missing source",IF(LEFT(M98,5)="DRAFT","Draft - verify with EDA",IF(ISBLANK(P98),"Missing confidence",IF(ISBLANK(H98),"Missing sub-sector","OK")))))</f>
        <v/>
      </c>
    </row>
    <row r="99">
      <c r="A99" s="6" t="inlineStr">
        <is>
          <t>McIntosh</t>
        </is>
      </c>
      <c r="B99" s="7">
        <f>LOWER(SUBSTITUTE(A99," ","-"))</f>
        <v/>
      </c>
      <c r="C99" s="8" t="n"/>
      <c r="D99" s="8" t="n"/>
      <c r="E99" s="8" t="n"/>
      <c r="F99" s="8" t="n"/>
      <c r="G99" s="8" t="n"/>
      <c r="H99" s="8" t="n"/>
      <c r="I99" s="8" t="n"/>
      <c r="J99" s="8" t="n"/>
      <c r="K99" s="8" t="n"/>
      <c r="L99" s="8" t="n"/>
      <c r="M99" s="8" t="n"/>
      <c r="N99" s="8" t="n"/>
      <c r="O99" s="8" t="n"/>
      <c r="P99" s="8" t="n"/>
      <c r="Q99" s="8" t="n"/>
      <c r="R99" s="8" t="n"/>
      <c r="S99" s="8" t="n"/>
      <c r="T99" s="8" t="n"/>
      <c r="U99" s="8" t="n"/>
      <c r="V99" s="6">
        <f>IF(ISBLANK(G99),"Not started",IF(ISBLANK(M99),"Missing source",IF(LEFT(M99,5)="DRAFT","Draft - verify with EDA",IF(ISBLANK(P99),"Missing confidence",IF(ISBLANK(H99),"Missing sub-sector","OK")))))</f>
        <v/>
      </c>
    </row>
    <row r="100">
      <c r="A100" s="6" t="inlineStr">
        <is>
          <t>Meriwether</t>
        </is>
      </c>
      <c r="B100" s="7">
        <f>LOWER(SUBSTITUTE(A100," ","-"))</f>
        <v/>
      </c>
      <c r="C100" s="8" t="n"/>
      <c r="D100" s="8" t="n"/>
      <c r="E100" s="8" t="n"/>
      <c r="F100" s="8" t="n"/>
      <c r="G100" s="8" t="n"/>
      <c r="H100" s="8" t="n"/>
      <c r="I100" s="8" t="n"/>
      <c r="J100" s="8" t="n"/>
      <c r="K100" s="8" t="n"/>
      <c r="L100" s="8" t="n"/>
      <c r="M100" s="8" t="n"/>
      <c r="N100" s="8" t="n"/>
      <c r="O100" s="8" t="n"/>
      <c r="P100" s="8" t="n"/>
      <c r="Q100" s="8" t="n"/>
      <c r="R100" s="8" t="n"/>
      <c r="S100" s="8" t="n"/>
      <c r="T100" s="8" t="n"/>
      <c r="U100" s="8" t="n"/>
      <c r="V100" s="6">
        <f>IF(ISBLANK(G100),"Not started",IF(ISBLANK(M100),"Missing source",IF(LEFT(M100,5)="DRAFT","Draft - verify with EDA",IF(ISBLANK(P100),"Missing confidence",IF(ISBLANK(H100),"Missing sub-sector","OK")))))</f>
        <v/>
      </c>
    </row>
    <row r="101">
      <c r="A101" s="6" t="inlineStr">
        <is>
          <t>Miller</t>
        </is>
      </c>
      <c r="B101" s="7">
        <f>LOWER(SUBSTITUTE(A101," ","-"))</f>
        <v/>
      </c>
      <c r="C101" s="8" t="n"/>
      <c r="D101" s="8" t="n"/>
      <c r="E101" s="8" t="n"/>
      <c r="F101" s="8" t="n"/>
      <c r="G101" s="8" t="n"/>
      <c r="H101" s="8" t="n"/>
      <c r="I101" s="8" t="n"/>
      <c r="J101" s="8" t="n"/>
      <c r="K101" s="8" t="n"/>
      <c r="L101" s="8" t="n"/>
      <c r="M101" s="8" t="n"/>
      <c r="N101" s="8" t="n"/>
      <c r="O101" s="8" t="n"/>
      <c r="P101" s="8" t="n"/>
      <c r="Q101" s="8" t="n"/>
      <c r="R101" s="8" t="n"/>
      <c r="S101" s="8" t="n"/>
      <c r="T101" s="8" t="n"/>
      <c r="U101" s="8" t="n"/>
      <c r="V101" s="6">
        <f>IF(ISBLANK(G101),"Not started",IF(ISBLANK(M101),"Missing source",IF(LEFT(M101,5)="DRAFT","Draft - verify with EDA",IF(ISBLANK(P101),"Missing confidence",IF(ISBLANK(H101),"Missing sub-sector","OK")))))</f>
        <v/>
      </c>
    </row>
    <row r="102">
      <c r="A102" s="6" t="inlineStr">
        <is>
          <t>Mitchell</t>
        </is>
      </c>
      <c r="B102" s="7">
        <f>LOWER(SUBSTITUTE(A102," ","-"))</f>
        <v/>
      </c>
      <c r="C102" s="8" t="n"/>
      <c r="D102" s="8" t="n"/>
      <c r="E102" s="8" t="n"/>
      <c r="F102" s="8" t="n"/>
      <c r="G102" s="8" t="n"/>
      <c r="H102" s="8" t="n"/>
      <c r="I102" s="8" t="n"/>
      <c r="J102" s="8" t="n"/>
      <c r="K102" s="8" t="n"/>
      <c r="L102" s="8" t="n"/>
      <c r="M102" s="8" t="n"/>
      <c r="N102" s="8" t="n"/>
      <c r="O102" s="8" t="n"/>
      <c r="P102" s="8" t="n"/>
      <c r="Q102" s="8" t="n"/>
      <c r="R102" s="8" t="n"/>
      <c r="S102" s="8" t="n"/>
      <c r="T102" s="8" t="n"/>
      <c r="U102" s="8" t="n"/>
      <c r="V102" s="6">
        <f>IF(ISBLANK(G102),"Not started",IF(ISBLANK(M102),"Missing source",IF(LEFT(M102,5)="DRAFT","Draft - verify with EDA",IF(ISBLANK(P102),"Missing confidence",IF(ISBLANK(H102),"Missing sub-sector","OK")))))</f>
        <v/>
      </c>
    </row>
    <row r="103">
      <c r="A103" s="6" t="inlineStr">
        <is>
          <t>Monroe</t>
        </is>
      </c>
      <c r="B103" s="7">
        <f>LOWER(SUBSTITUTE(A103," ","-"))</f>
        <v/>
      </c>
      <c r="C103" s="8" t="n"/>
      <c r="D103" s="8" t="n"/>
      <c r="E103" s="8" t="n"/>
      <c r="F103" s="8" t="n"/>
      <c r="G103" s="8" t="n"/>
      <c r="H103" s="8" t="n"/>
      <c r="I103" s="8" t="n"/>
      <c r="J103" s="8" t="n"/>
      <c r="K103" s="8" t="n"/>
      <c r="L103" s="8" t="n"/>
      <c r="M103" s="8" t="n"/>
      <c r="N103" s="8" t="n"/>
      <c r="O103" s="8" t="n"/>
      <c r="P103" s="8" t="n"/>
      <c r="Q103" s="8" t="n"/>
      <c r="R103" s="8" t="n"/>
      <c r="S103" s="8" t="n"/>
      <c r="T103" s="8" t="n"/>
      <c r="U103" s="8" t="n"/>
      <c r="V103" s="6">
        <f>IF(ISBLANK(G103),"Not started",IF(ISBLANK(M103),"Missing source",IF(LEFT(M103,5)="DRAFT","Draft - verify with EDA",IF(ISBLANK(P103),"Missing confidence",IF(ISBLANK(H103),"Missing sub-sector","OK")))))</f>
        <v/>
      </c>
    </row>
    <row r="104">
      <c r="A104" s="6" t="inlineStr">
        <is>
          <t>Montgomery</t>
        </is>
      </c>
      <c r="B104" s="7">
        <f>LOWER(SUBSTITUTE(A104," ","-"))</f>
        <v/>
      </c>
      <c r="C104" s="8" t="n"/>
      <c r="D104" s="8" t="n"/>
      <c r="E104" s="8" t="n"/>
      <c r="F104" s="8" t="n"/>
      <c r="G104" s="8" t="n"/>
      <c r="H104" s="8" t="n"/>
      <c r="I104" s="8" t="n"/>
      <c r="J104" s="8" t="n"/>
      <c r="K104" s="8" t="n"/>
      <c r="L104" s="8" t="n"/>
      <c r="M104" s="8" t="n"/>
      <c r="N104" s="8" t="n"/>
      <c r="O104" s="8" t="n"/>
      <c r="P104" s="8" t="n"/>
      <c r="Q104" s="8" t="n"/>
      <c r="R104" s="8" t="n"/>
      <c r="S104" s="8" t="n"/>
      <c r="T104" s="8" t="n"/>
      <c r="U104" s="8" t="n"/>
      <c r="V104" s="6">
        <f>IF(ISBLANK(G104),"Not started",IF(ISBLANK(M104),"Missing source",IF(LEFT(M104,5)="DRAFT","Draft - verify with EDA",IF(ISBLANK(P104),"Missing confidence",IF(ISBLANK(H104),"Missing sub-sector","OK")))))</f>
        <v/>
      </c>
    </row>
    <row r="105">
      <c r="A105" s="6" t="inlineStr">
        <is>
          <t>Morgan</t>
        </is>
      </c>
      <c r="B105" s="7">
        <f>LOWER(SUBSTITUTE(A105," ","-"))</f>
        <v/>
      </c>
      <c r="C105" s="8" t="n"/>
      <c r="D105" s="8" t="n"/>
      <c r="E105" s="8" t="n"/>
      <c r="F105" s="8" t="n"/>
      <c r="G105" s="8" t="n"/>
      <c r="H105" s="8" t="n"/>
      <c r="I105" s="8" t="n"/>
      <c r="J105" s="8" t="n"/>
      <c r="K105" s="8" t="n"/>
      <c r="L105" s="8" t="n"/>
      <c r="M105" s="8" t="n"/>
      <c r="N105" s="8" t="n"/>
      <c r="O105" s="8" t="n"/>
      <c r="P105" s="8" t="n"/>
      <c r="Q105" s="8" t="n"/>
      <c r="R105" s="8" t="n"/>
      <c r="S105" s="8" t="n"/>
      <c r="T105" s="8" t="n"/>
      <c r="U105" s="8" t="n"/>
      <c r="V105" s="6">
        <f>IF(ISBLANK(G105),"Not started",IF(ISBLANK(M105),"Missing source",IF(LEFT(M105,5)="DRAFT","Draft - verify with EDA",IF(ISBLANK(P105),"Missing confidence",IF(ISBLANK(H105),"Missing sub-sector","OK")))))</f>
        <v/>
      </c>
    </row>
    <row r="106">
      <c r="A106" s="6" t="inlineStr">
        <is>
          <t>Murray</t>
        </is>
      </c>
      <c r="B106" s="7">
        <f>LOWER(SUBSTITUTE(A106," ","-"))</f>
        <v/>
      </c>
      <c r="C106" s="8" t="n"/>
      <c r="D106" s="8" t="n"/>
      <c r="E106" s="8" t="n"/>
      <c r="F106" s="8" t="n"/>
      <c r="G106" s="8" t="n"/>
      <c r="H106" s="8" t="n"/>
      <c r="I106" s="8" t="n"/>
      <c r="J106" s="8" t="n"/>
      <c r="K106" s="8" t="n"/>
      <c r="L106" s="8" t="n"/>
      <c r="M106" s="8" t="n"/>
      <c r="N106" s="8" t="n"/>
      <c r="O106" s="8" t="n"/>
      <c r="P106" s="8" t="n"/>
      <c r="Q106" s="8" t="n"/>
      <c r="R106" s="8" t="n"/>
      <c r="S106" s="8" t="n"/>
      <c r="T106" s="8" t="n"/>
      <c r="U106" s="8" t="n"/>
      <c r="V106" s="6">
        <f>IF(ISBLANK(G106),"Not started",IF(ISBLANK(M106),"Missing source",IF(LEFT(M106,5)="DRAFT","Draft - verify with EDA",IF(ISBLANK(P106),"Missing confidence",IF(ISBLANK(H106),"Missing sub-sector","OK")))))</f>
        <v/>
      </c>
    </row>
    <row r="107">
      <c r="A107" s="6" t="inlineStr">
        <is>
          <t>Muscogee</t>
        </is>
      </c>
      <c r="B107" s="7">
        <f>LOWER(SUBSTITUTE(A107," ","-"))</f>
        <v/>
      </c>
      <c r="C107" s="8" t="n"/>
      <c r="D107" s="8" t="n"/>
      <c r="E107" s="8" t="n"/>
      <c r="F107" s="8" t="n"/>
      <c r="G107" s="8" t="n"/>
      <c r="H107" s="8" t="n"/>
      <c r="I107" s="8" t="n"/>
      <c r="J107" s="8" t="n"/>
      <c r="K107" s="8" t="n"/>
      <c r="L107" s="8" t="n"/>
      <c r="M107" s="8" t="n"/>
      <c r="N107" s="8" t="n"/>
      <c r="O107" s="8" t="n"/>
      <c r="P107" s="8" t="n"/>
      <c r="Q107" s="8" t="n"/>
      <c r="R107" s="8" t="n"/>
      <c r="S107" s="8" t="n"/>
      <c r="T107" s="8" t="n"/>
      <c r="U107" s="8" t="n"/>
      <c r="V107" s="6">
        <f>IF(ISBLANK(G107),"Not started",IF(ISBLANK(M107),"Missing source",IF(LEFT(M107,5)="DRAFT","Draft - verify with EDA",IF(ISBLANK(P107),"Missing confidence",IF(ISBLANK(H107),"Missing sub-sector","OK")))))</f>
        <v/>
      </c>
    </row>
    <row r="108">
      <c r="A108" s="6" t="inlineStr">
        <is>
          <t>Newton</t>
        </is>
      </c>
      <c r="B108" s="7">
        <f>LOWER(SUBSTITUTE(A108," ","-"))</f>
        <v/>
      </c>
      <c r="C108" s="8" t="n"/>
      <c r="D108" s="8" t="n"/>
      <c r="E108" s="8" t="n"/>
      <c r="F108" s="8" t="n"/>
      <c r="G108" s="8" t="n"/>
      <c r="H108" s="8" t="n"/>
      <c r="I108" s="8" t="n"/>
      <c r="J108" s="8" t="n"/>
      <c r="K108" s="8" t="n"/>
      <c r="L108" s="8" t="n"/>
      <c r="M108" s="8" t="n"/>
      <c r="N108" s="8" t="n"/>
      <c r="O108" s="8" t="n"/>
      <c r="P108" s="8" t="n"/>
      <c r="Q108" s="8" t="n"/>
      <c r="R108" s="8" t="n"/>
      <c r="S108" s="8" t="n"/>
      <c r="T108" s="8" t="n"/>
      <c r="U108" s="8" t="n"/>
      <c r="V108" s="6">
        <f>IF(ISBLANK(G108),"Not started",IF(ISBLANK(M108),"Missing source",IF(LEFT(M108,5)="DRAFT","Draft - verify with EDA",IF(ISBLANK(P108),"Missing confidence",IF(ISBLANK(H108),"Missing sub-sector","OK")))))</f>
        <v/>
      </c>
    </row>
    <row r="109">
      <c r="A109" s="6" t="inlineStr">
        <is>
          <t>Oconee</t>
        </is>
      </c>
      <c r="B109" s="7">
        <f>LOWER(SUBSTITUTE(A109," ","-"))</f>
        <v/>
      </c>
      <c r="C109" s="8" t="n"/>
      <c r="D109" s="8" t="n"/>
      <c r="E109" s="8" t="n"/>
      <c r="F109" s="8" t="n"/>
      <c r="G109" s="8" t="n"/>
      <c r="H109" s="8" t="n"/>
      <c r="I109" s="8" t="n"/>
      <c r="J109" s="8" t="n"/>
      <c r="K109" s="8" t="n"/>
      <c r="L109" s="8" t="n"/>
      <c r="M109" s="8" t="n"/>
      <c r="N109" s="8" t="n"/>
      <c r="O109" s="8" t="n"/>
      <c r="P109" s="8" t="n"/>
      <c r="Q109" s="8" t="n"/>
      <c r="R109" s="8" t="n"/>
      <c r="S109" s="8" t="n"/>
      <c r="T109" s="8" t="n"/>
      <c r="U109" s="8" t="n"/>
      <c r="V109" s="6">
        <f>IF(ISBLANK(G109),"Not started",IF(ISBLANK(M109),"Missing source",IF(LEFT(M109,5)="DRAFT","Draft - verify with EDA",IF(ISBLANK(P109),"Missing confidence",IF(ISBLANK(H109),"Missing sub-sector","OK")))))</f>
        <v/>
      </c>
    </row>
    <row r="110">
      <c r="A110" s="6" t="inlineStr">
        <is>
          <t>Oglethorpe</t>
        </is>
      </c>
      <c r="B110" s="7">
        <f>LOWER(SUBSTITUTE(A110," ","-"))</f>
        <v/>
      </c>
      <c r="C110" s="8" t="n"/>
      <c r="D110" s="8" t="n"/>
      <c r="E110" s="8" t="n"/>
      <c r="F110" s="8" t="n"/>
      <c r="G110" s="8" t="n"/>
      <c r="H110" s="8" t="n"/>
      <c r="I110" s="8" t="n"/>
      <c r="J110" s="8" t="n"/>
      <c r="K110" s="8" t="n"/>
      <c r="L110" s="8" t="n"/>
      <c r="M110" s="8" t="n"/>
      <c r="N110" s="8" t="n"/>
      <c r="O110" s="8" t="n"/>
      <c r="P110" s="8" t="n"/>
      <c r="Q110" s="8" t="n"/>
      <c r="R110" s="8" t="n"/>
      <c r="S110" s="8" t="n"/>
      <c r="T110" s="8" t="n"/>
      <c r="U110" s="8" t="n"/>
      <c r="V110" s="6">
        <f>IF(ISBLANK(G110),"Not started",IF(ISBLANK(M110),"Missing source",IF(LEFT(M110,5)="DRAFT","Draft - verify with EDA",IF(ISBLANK(P110),"Missing confidence",IF(ISBLANK(H110),"Missing sub-sector","OK")))))</f>
        <v/>
      </c>
    </row>
    <row r="111">
      <c r="A111" s="6" t="inlineStr">
        <is>
          <t>Paulding</t>
        </is>
      </c>
      <c r="B111" s="7">
        <f>LOWER(SUBSTITUTE(A111," ","-"))</f>
        <v/>
      </c>
      <c r="C111" s="8" t="n"/>
      <c r="D111" s="8" t="n"/>
      <c r="E111" s="8" t="n"/>
      <c r="F111" s="8" t="n"/>
      <c r="G111" s="8" t="n"/>
      <c r="H111" s="8" t="n"/>
      <c r="I111" s="8" t="n"/>
      <c r="J111" s="8" t="n"/>
      <c r="K111" s="8" t="n"/>
      <c r="L111" s="8" t="n"/>
      <c r="M111" s="8" t="n"/>
      <c r="N111" s="8" t="n"/>
      <c r="O111" s="8" t="n"/>
      <c r="P111" s="8" t="n"/>
      <c r="Q111" s="8" t="n"/>
      <c r="R111" s="8" t="n"/>
      <c r="S111" s="8" t="n"/>
      <c r="T111" s="8" t="n"/>
      <c r="U111" s="8" t="n"/>
      <c r="V111" s="6">
        <f>IF(ISBLANK(G111),"Not started",IF(ISBLANK(M111),"Missing source",IF(LEFT(M111,5)="DRAFT","Draft - verify with EDA",IF(ISBLANK(P111),"Missing confidence",IF(ISBLANK(H111),"Missing sub-sector","OK")))))</f>
        <v/>
      </c>
    </row>
    <row r="112">
      <c r="A112" s="6" t="inlineStr">
        <is>
          <t>Peach</t>
        </is>
      </c>
      <c r="B112" s="7">
        <f>LOWER(SUBSTITUTE(A112," ","-"))</f>
        <v/>
      </c>
      <c r="C112" s="8" t="n"/>
      <c r="D112" s="8" t="n"/>
      <c r="E112" s="8" t="n"/>
      <c r="F112" s="8" t="n"/>
      <c r="G112" s="8" t="n"/>
      <c r="H112" s="8" t="n"/>
      <c r="I112" s="8" t="n"/>
      <c r="J112" s="8" t="n"/>
      <c r="K112" s="8" t="n"/>
      <c r="L112" s="8" t="n"/>
      <c r="M112" s="8" t="n"/>
      <c r="N112" s="8" t="n"/>
      <c r="O112" s="8" t="n"/>
      <c r="P112" s="8" t="n"/>
      <c r="Q112" s="8" t="n"/>
      <c r="R112" s="8" t="n"/>
      <c r="S112" s="8" t="n"/>
      <c r="T112" s="8" t="n"/>
      <c r="U112" s="8" t="n"/>
      <c r="V112" s="6">
        <f>IF(ISBLANK(G112),"Not started",IF(ISBLANK(M112),"Missing source",IF(LEFT(M112,5)="DRAFT","Draft - verify with EDA",IF(ISBLANK(P112),"Missing confidence",IF(ISBLANK(H112),"Missing sub-sector","OK")))))</f>
        <v/>
      </c>
    </row>
    <row r="113">
      <c r="A113" s="6" t="inlineStr">
        <is>
          <t>Pickens</t>
        </is>
      </c>
      <c r="B113" s="7">
        <f>LOWER(SUBSTITUTE(A113," ","-"))</f>
        <v/>
      </c>
      <c r="C113" s="8" t="n"/>
      <c r="D113" s="8" t="n"/>
      <c r="E113" s="8" t="n"/>
      <c r="F113" s="8" t="n"/>
      <c r="G113" s="8" t="n"/>
      <c r="H113" s="8" t="n"/>
      <c r="I113" s="8" t="n"/>
      <c r="J113" s="8" t="n"/>
      <c r="K113" s="8" t="n"/>
      <c r="L113" s="8" t="n"/>
      <c r="M113" s="8" t="n"/>
      <c r="N113" s="8" t="n"/>
      <c r="O113" s="8" t="n"/>
      <c r="P113" s="8" t="n"/>
      <c r="Q113" s="8" t="n"/>
      <c r="R113" s="8" t="n"/>
      <c r="S113" s="8" t="n"/>
      <c r="T113" s="8" t="n"/>
      <c r="U113" s="8" t="n"/>
      <c r="V113" s="6">
        <f>IF(ISBLANK(G113),"Not started",IF(ISBLANK(M113),"Missing source",IF(LEFT(M113,5)="DRAFT","Draft - verify with EDA",IF(ISBLANK(P113),"Missing confidence",IF(ISBLANK(H113),"Missing sub-sector","OK")))))</f>
        <v/>
      </c>
    </row>
    <row r="114">
      <c r="A114" s="6" t="inlineStr">
        <is>
          <t>Pierce</t>
        </is>
      </c>
      <c r="B114" s="7">
        <f>LOWER(SUBSTITUTE(A114," ","-"))</f>
        <v/>
      </c>
      <c r="C114" s="8" t="n"/>
      <c r="D114" s="8" t="n"/>
      <c r="E114" s="8" t="n"/>
      <c r="F114" s="8" t="n"/>
      <c r="G114" s="8" t="n"/>
      <c r="H114" s="8" t="n"/>
      <c r="I114" s="8" t="n"/>
      <c r="J114" s="8" t="n"/>
      <c r="K114" s="8" t="n"/>
      <c r="L114" s="8" t="n"/>
      <c r="M114" s="8" t="n"/>
      <c r="N114" s="8" t="n"/>
      <c r="O114" s="8" t="n"/>
      <c r="P114" s="8" t="n"/>
      <c r="Q114" s="8" t="n"/>
      <c r="R114" s="8" t="n"/>
      <c r="S114" s="8" t="n"/>
      <c r="T114" s="8" t="n"/>
      <c r="U114" s="8" t="n"/>
      <c r="V114" s="6">
        <f>IF(ISBLANK(G114),"Not started",IF(ISBLANK(M114),"Missing source",IF(LEFT(M114,5)="DRAFT","Draft - verify with EDA",IF(ISBLANK(P114),"Missing confidence",IF(ISBLANK(H114),"Missing sub-sector","OK")))))</f>
        <v/>
      </c>
    </row>
    <row r="115">
      <c r="A115" s="6" t="inlineStr">
        <is>
          <t>Pike</t>
        </is>
      </c>
      <c r="B115" s="7">
        <f>LOWER(SUBSTITUTE(A115," ","-"))</f>
        <v/>
      </c>
      <c r="C115" s="8" t="n"/>
      <c r="D115" s="8" t="n"/>
      <c r="E115" s="8" t="n"/>
      <c r="F115" s="8" t="n"/>
      <c r="G115" s="8" t="n"/>
      <c r="H115" s="8" t="n"/>
      <c r="I115" s="8" t="n"/>
      <c r="J115" s="8" t="n"/>
      <c r="K115" s="8" t="n"/>
      <c r="L115" s="8" t="n"/>
      <c r="M115" s="8" t="n"/>
      <c r="N115" s="8" t="n"/>
      <c r="O115" s="8" t="n"/>
      <c r="P115" s="8" t="n"/>
      <c r="Q115" s="8" t="n"/>
      <c r="R115" s="8" t="n"/>
      <c r="S115" s="8" t="n"/>
      <c r="T115" s="8" t="n"/>
      <c r="U115" s="8" t="n"/>
      <c r="V115" s="6">
        <f>IF(ISBLANK(G115),"Not started",IF(ISBLANK(M115),"Missing source",IF(LEFT(M115,5)="DRAFT","Draft - verify with EDA",IF(ISBLANK(P115),"Missing confidence",IF(ISBLANK(H115),"Missing sub-sector","OK")))))</f>
        <v/>
      </c>
    </row>
    <row r="116">
      <c r="A116" s="6" t="inlineStr">
        <is>
          <t>Polk</t>
        </is>
      </c>
      <c r="B116" s="7">
        <f>LOWER(SUBSTITUTE(A116," ","-"))</f>
        <v/>
      </c>
      <c r="C116" s="8" t="n"/>
      <c r="D116" s="8" t="n"/>
      <c r="E116" s="8" t="n"/>
      <c r="F116" s="8" t="n"/>
      <c r="G116" s="8" t="n"/>
      <c r="H116" s="8" t="n"/>
      <c r="I116" s="8" t="n"/>
      <c r="J116" s="8" t="n"/>
      <c r="K116" s="8" t="n"/>
      <c r="L116" s="8" t="n"/>
      <c r="M116" s="8" t="n"/>
      <c r="N116" s="8" t="n"/>
      <c r="O116" s="8" t="n"/>
      <c r="P116" s="8" t="n"/>
      <c r="Q116" s="8" t="n"/>
      <c r="R116" s="8" t="n"/>
      <c r="S116" s="8" t="n"/>
      <c r="T116" s="8" t="n"/>
      <c r="U116" s="8" t="n"/>
      <c r="V116" s="6">
        <f>IF(ISBLANK(G116),"Not started",IF(ISBLANK(M116),"Missing source",IF(LEFT(M116,5)="DRAFT","Draft - verify with EDA",IF(ISBLANK(P116),"Missing confidence",IF(ISBLANK(H116),"Missing sub-sector","OK")))))</f>
        <v/>
      </c>
    </row>
    <row r="117">
      <c r="A117" s="6" t="inlineStr">
        <is>
          <t>Pulaski</t>
        </is>
      </c>
      <c r="B117" s="7">
        <f>LOWER(SUBSTITUTE(A117," ","-"))</f>
        <v/>
      </c>
      <c r="C117" s="8" t="n"/>
      <c r="D117" s="8" t="n"/>
      <c r="E117" s="8" t="n"/>
      <c r="F117" s="8" t="n"/>
      <c r="G117" s="8" t="n"/>
      <c r="H117" s="8" t="n"/>
      <c r="I117" s="8" t="n"/>
      <c r="J117" s="8" t="n"/>
      <c r="K117" s="8" t="n"/>
      <c r="L117" s="8" t="n"/>
      <c r="M117" s="8" t="n"/>
      <c r="N117" s="8" t="n"/>
      <c r="O117" s="8" t="n"/>
      <c r="P117" s="8" t="n"/>
      <c r="Q117" s="8" t="n"/>
      <c r="R117" s="8" t="n"/>
      <c r="S117" s="8" t="n"/>
      <c r="T117" s="8" t="n"/>
      <c r="U117" s="8" t="n"/>
      <c r="V117" s="6">
        <f>IF(ISBLANK(G117),"Not started",IF(ISBLANK(M117),"Missing source",IF(LEFT(M117,5)="DRAFT","Draft - verify with EDA",IF(ISBLANK(P117),"Missing confidence",IF(ISBLANK(H117),"Missing sub-sector","OK")))))</f>
        <v/>
      </c>
    </row>
    <row r="118">
      <c r="A118" s="6" t="inlineStr">
        <is>
          <t>Putnam</t>
        </is>
      </c>
      <c r="B118" s="7">
        <f>LOWER(SUBSTITUTE(A118," ","-"))</f>
        <v/>
      </c>
      <c r="C118" s="8" t="n"/>
      <c r="D118" s="8" t="n"/>
      <c r="E118" s="8" t="n"/>
      <c r="F118" s="8" t="n"/>
      <c r="G118" s="8" t="n"/>
      <c r="H118" s="8" t="n"/>
      <c r="I118" s="8" t="n"/>
      <c r="J118" s="8" t="n"/>
      <c r="K118" s="8" t="n"/>
      <c r="L118" s="8" t="n"/>
      <c r="M118" s="8" t="n"/>
      <c r="N118" s="8" t="n"/>
      <c r="O118" s="8" t="n"/>
      <c r="P118" s="8" t="n"/>
      <c r="Q118" s="8" t="n"/>
      <c r="R118" s="8" t="n"/>
      <c r="S118" s="8" t="n"/>
      <c r="T118" s="8" t="n"/>
      <c r="U118" s="8" t="n"/>
      <c r="V118" s="6">
        <f>IF(ISBLANK(G118),"Not started",IF(ISBLANK(M118),"Missing source",IF(LEFT(M118,5)="DRAFT","Draft - verify with EDA",IF(ISBLANK(P118),"Missing confidence",IF(ISBLANK(H118),"Missing sub-sector","OK")))))</f>
        <v/>
      </c>
    </row>
    <row r="119">
      <c r="A119" s="6" t="inlineStr">
        <is>
          <t>Quitman</t>
        </is>
      </c>
      <c r="B119" s="7">
        <f>LOWER(SUBSTITUTE(A119," ","-"))</f>
        <v/>
      </c>
      <c r="C119" s="8" t="n"/>
      <c r="D119" s="8" t="n"/>
      <c r="E119" s="8" t="n"/>
      <c r="F119" s="8" t="n"/>
      <c r="G119" s="8" t="n"/>
      <c r="H119" s="8" t="n"/>
      <c r="I119" s="8" t="n"/>
      <c r="J119" s="8" t="n"/>
      <c r="K119" s="8" t="n"/>
      <c r="L119" s="8" t="n"/>
      <c r="M119" s="8" t="n"/>
      <c r="N119" s="8" t="n"/>
      <c r="O119" s="8" t="n"/>
      <c r="P119" s="8" t="n"/>
      <c r="Q119" s="8" t="n"/>
      <c r="R119" s="8" t="n"/>
      <c r="S119" s="8" t="n"/>
      <c r="T119" s="8" t="n"/>
      <c r="U119" s="8" t="n"/>
      <c r="V119" s="6">
        <f>IF(ISBLANK(G119),"Not started",IF(ISBLANK(M119),"Missing source",IF(LEFT(M119,5)="DRAFT","Draft - verify with EDA",IF(ISBLANK(P119),"Missing confidence",IF(ISBLANK(H119),"Missing sub-sector","OK")))))</f>
        <v/>
      </c>
    </row>
    <row r="120">
      <c r="A120" s="6" t="inlineStr">
        <is>
          <t>Rabun</t>
        </is>
      </c>
      <c r="B120" s="7">
        <f>LOWER(SUBSTITUTE(A120," ","-"))</f>
        <v/>
      </c>
      <c r="C120" s="8" t="n"/>
      <c r="D120" s="8" t="n"/>
      <c r="E120" s="8" t="n"/>
      <c r="F120" s="8" t="n"/>
      <c r="G120" s="8" t="n"/>
      <c r="H120" s="8" t="n"/>
      <c r="I120" s="8" t="n"/>
      <c r="J120" s="8" t="n"/>
      <c r="K120" s="8" t="n"/>
      <c r="L120" s="8" t="n"/>
      <c r="M120" s="8" t="n"/>
      <c r="N120" s="8" t="n"/>
      <c r="O120" s="8" t="n"/>
      <c r="P120" s="8" t="n"/>
      <c r="Q120" s="8" t="n"/>
      <c r="R120" s="8" t="n"/>
      <c r="S120" s="8" t="n"/>
      <c r="T120" s="8" t="n"/>
      <c r="U120" s="8" t="n"/>
      <c r="V120" s="6">
        <f>IF(ISBLANK(G120),"Not started",IF(ISBLANK(M120),"Missing source",IF(LEFT(M120,5)="DRAFT","Draft - verify with EDA",IF(ISBLANK(P120),"Missing confidence",IF(ISBLANK(H120),"Missing sub-sector","OK")))))</f>
        <v/>
      </c>
    </row>
    <row r="121">
      <c r="A121" s="6" t="inlineStr">
        <is>
          <t>Randolph</t>
        </is>
      </c>
      <c r="B121" s="7">
        <f>LOWER(SUBSTITUTE(A121," ","-"))</f>
        <v/>
      </c>
      <c r="C121" s="8" t="n"/>
      <c r="D121" s="8" t="n"/>
      <c r="E121" s="8" t="n"/>
      <c r="F121" s="8" t="n"/>
      <c r="G121" s="8" t="n"/>
      <c r="H121" s="8" t="n"/>
      <c r="I121" s="8" t="n"/>
      <c r="J121" s="8" t="n"/>
      <c r="K121" s="8" t="n"/>
      <c r="L121" s="8" t="n"/>
      <c r="M121" s="8" t="n"/>
      <c r="N121" s="8" t="n"/>
      <c r="O121" s="8" t="n"/>
      <c r="P121" s="8" t="n"/>
      <c r="Q121" s="8" t="n"/>
      <c r="R121" s="8" t="n"/>
      <c r="S121" s="8" t="n"/>
      <c r="T121" s="8" t="n"/>
      <c r="U121" s="8" t="n"/>
      <c r="V121" s="6">
        <f>IF(ISBLANK(G121),"Not started",IF(ISBLANK(M121),"Missing source",IF(LEFT(M121,5)="DRAFT","Draft - verify with EDA",IF(ISBLANK(P121),"Missing confidence",IF(ISBLANK(H121),"Missing sub-sector","OK")))))</f>
        <v/>
      </c>
    </row>
    <row r="122">
      <c r="A122" s="6" t="inlineStr">
        <is>
          <t>Richmond</t>
        </is>
      </c>
      <c r="B122" s="7">
        <f>LOWER(SUBSTITUTE(A122," ","-"))</f>
        <v/>
      </c>
      <c r="C122" s="8" t="n"/>
      <c r="D122" s="8" t="n"/>
      <c r="E122" s="8" t="n"/>
      <c r="F122" s="8" t="n"/>
      <c r="G122" s="8" t="n"/>
      <c r="H122" s="8" t="n"/>
      <c r="I122" s="8" t="n"/>
      <c r="J122" s="8" t="n"/>
      <c r="K122" s="8" t="n"/>
      <c r="L122" s="8" t="n"/>
      <c r="M122" s="8" t="n"/>
      <c r="N122" s="8" t="n"/>
      <c r="O122" s="8" t="n"/>
      <c r="P122" s="8" t="n"/>
      <c r="Q122" s="8" t="n"/>
      <c r="R122" s="8" t="n"/>
      <c r="S122" s="8" t="n"/>
      <c r="T122" s="8" t="n"/>
      <c r="U122" s="8" t="n"/>
      <c r="V122" s="6">
        <f>IF(ISBLANK(G122),"Not started",IF(ISBLANK(M122),"Missing source",IF(LEFT(M122,5)="DRAFT","Draft - verify with EDA",IF(ISBLANK(P122),"Missing confidence",IF(ISBLANK(H122),"Missing sub-sector","OK")))))</f>
        <v/>
      </c>
    </row>
    <row r="123">
      <c r="A123" s="6" t="inlineStr">
        <is>
          <t>Rockdale</t>
        </is>
      </c>
      <c r="B123" s="7">
        <f>LOWER(SUBSTITUTE(A123," ","-"))</f>
        <v/>
      </c>
      <c r="C123" s="8" t="n"/>
      <c r="D123" s="8" t="n"/>
      <c r="E123" s="8" t="n"/>
      <c r="F123" s="8" t="n"/>
      <c r="G123" s="8" t="n"/>
      <c r="H123" s="8" t="n"/>
      <c r="I123" s="8" t="n"/>
      <c r="J123" s="8" t="n"/>
      <c r="K123" s="8" t="n"/>
      <c r="L123" s="8" t="n"/>
      <c r="M123" s="8" t="n"/>
      <c r="N123" s="8" t="n"/>
      <c r="O123" s="8" t="n"/>
      <c r="P123" s="8" t="n"/>
      <c r="Q123" s="8" t="n"/>
      <c r="R123" s="8" t="n"/>
      <c r="S123" s="8" t="n"/>
      <c r="T123" s="8" t="n"/>
      <c r="U123" s="8" t="n"/>
      <c r="V123" s="6">
        <f>IF(ISBLANK(G123),"Not started",IF(ISBLANK(M123),"Missing source",IF(LEFT(M123,5)="DRAFT","Draft - verify with EDA",IF(ISBLANK(P123),"Missing confidence",IF(ISBLANK(H123),"Missing sub-sector","OK")))))</f>
        <v/>
      </c>
    </row>
    <row r="124">
      <c r="A124" s="6" t="inlineStr">
        <is>
          <t>Schley</t>
        </is>
      </c>
      <c r="B124" s="7">
        <f>LOWER(SUBSTITUTE(A124," ","-"))</f>
        <v/>
      </c>
      <c r="C124" s="8" t="n"/>
      <c r="D124" s="8" t="n"/>
      <c r="E124" s="8" t="n"/>
      <c r="F124" s="8" t="n"/>
      <c r="G124" s="8" t="n"/>
      <c r="H124" s="8" t="n"/>
      <c r="I124" s="8" t="n"/>
      <c r="J124" s="8" t="n"/>
      <c r="K124" s="8" t="n"/>
      <c r="L124" s="8" t="n"/>
      <c r="M124" s="8" t="n"/>
      <c r="N124" s="8" t="n"/>
      <c r="O124" s="8" t="n"/>
      <c r="P124" s="8" t="n"/>
      <c r="Q124" s="8" t="n"/>
      <c r="R124" s="8" t="n"/>
      <c r="S124" s="8" t="n"/>
      <c r="T124" s="8" t="n"/>
      <c r="U124" s="8" t="n"/>
      <c r="V124" s="6">
        <f>IF(ISBLANK(G124),"Not started",IF(ISBLANK(M124),"Missing source",IF(LEFT(M124,5)="DRAFT","Draft - verify with EDA",IF(ISBLANK(P124),"Missing confidence",IF(ISBLANK(H124),"Missing sub-sector","OK")))))</f>
        <v/>
      </c>
    </row>
    <row r="125">
      <c r="A125" s="6" t="inlineStr">
        <is>
          <t>Screven</t>
        </is>
      </c>
      <c r="B125" s="7">
        <f>LOWER(SUBSTITUTE(A125," ","-"))</f>
        <v/>
      </c>
      <c r="C125" s="8" t="n"/>
      <c r="D125" s="8" t="n"/>
      <c r="E125" s="8" t="n"/>
      <c r="F125" s="8" t="n"/>
      <c r="G125" s="8" t="n"/>
      <c r="H125" s="8" t="n"/>
      <c r="I125" s="8" t="n"/>
      <c r="J125" s="8" t="n"/>
      <c r="K125" s="8" t="n"/>
      <c r="L125" s="8" t="n"/>
      <c r="M125" s="8" t="n"/>
      <c r="N125" s="8" t="n"/>
      <c r="O125" s="8" t="n"/>
      <c r="P125" s="8" t="n"/>
      <c r="Q125" s="8" t="n"/>
      <c r="R125" s="8" t="n"/>
      <c r="S125" s="8" t="n"/>
      <c r="T125" s="8" t="n"/>
      <c r="U125" s="8" t="n"/>
      <c r="V125" s="6">
        <f>IF(ISBLANK(G125),"Not started",IF(ISBLANK(M125),"Missing source",IF(LEFT(M125,5)="DRAFT","Draft - verify with EDA",IF(ISBLANK(P125),"Missing confidence",IF(ISBLANK(H125),"Missing sub-sector","OK")))))</f>
        <v/>
      </c>
    </row>
    <row r="126">
      <c r="A126" s="6" t="inlineStr">
        <is>
          <t>Seminole</t>
        </is>
      </c>
      <c r="B126" s="7">
        <f>LOWER(SUBSTITUTE(A126," ","-"))</f>
        <v/>
      </c>
      <c r="C126" s="8" t="n"/>
      <c r="D126" s="8" t="n"/>
      <c r="E126" s="8" t="n"/>
      <c r="F126" s="8" t="n"/>
      <c r="G126" s="8" t="n"/>
      <c r="H126" s="8" t="n"/>
      <c r="I126" s="8" t="n"/>
      <c r="J126" s="8" t="n"/>
      <c r="K126" s="8" t="n"/>
      <c r="L126" s="8" t="n"/>
      <c r="M126" s="8" t="n"/>
      <c r="N126" s="8" t="n"/>
      <c r="O126" s="8" t="n"/>
      <c r="P126" s="8" t="n"/>
      <c r="Q126" s="8" t="n"/>
      <c r="R126" s="8" t="n"/>
      <c r="S126" s="8" t="n"/>
      <c r="T126" s="8" t="n"/>
      <c r="U126" s="8" t="n"/>
      <c r="V126" s="6">
        <f>IF(ISBLANK(G126),"Not started",IF(ISBLANK(M126),"Missing source",IF(LEFT(M126,5)="DRAFT","Draft - verify with EDA",IF(ISBLANK(P126),"Missing confidence",IF(ISBLANK(H126),"Missing sub-sector","OK")))))</f>
        <v/>
      </c>
    </row>
    <row r="127">
      <c r="A127" s="6" t="inlineStr">
        <is>
          <t>Spalding</t>
        </is>
      </c>
      <c r="B127" s="7">
        <f>LOWER(SUBSTITUTE(A127," ","-"))</f>
        <v/>
      </c>
      <c r="C127" s="8" t="n"/>
      <c r="D127" s="8" t="n"/>
      <c r="E127" s="8" t="n"/>
      <c r="F127" s="8" t="n"/>
      <c r="G127" s="8" t="n"/>
      <c r="H127" s="8" t="n"/>
      <c r="I127" s="8" t="n"/>
      <c r="J127" s="8" t="n"/>
      <c r="K127" s="8" t="n"/>
      <c r="L127" s="8" t="n"/>
      <c r="M127" s="8" t="n"/>
      <c r="N127" s="8" t="n"/>
      <c r="O127" s="8" t="n"/>
      <c r="P127" s="8" t="n"/>
      <c r="Q127" s="8" t="n"/>
      <c r="R127" s="8" t="n"/>
      <c r="S127" s="8" t="n"/>
      <c r="T127" s="8" t="n"/>
      <c r="U127" s="8" t="n"/>
      <c r="V127" s="6">
        <f>IF(ISBLANK(G127),"Not started",IF(ISBLANK(M127),"Missing source",IF(LEFT(M127,5)="DRAFT","Draft - verify with EDA",IF(ISBLANK(P127),"Missing confidence",IF(ISBLANK(H127),"Missing sub-sector","OK")))))</f>
        <v/>
      </c>
    </row>
    <row r="128">
      <c r="A128" s="6" t="inlineStr">
        <is>
          <t>Stephens</t>
        </is>
      </c>
      <c r="B128" s="7">
        <f>LOWER(SUBSTITUTE(A128," ","-"))</f>
        <v/>
      </c>
      <c r="C128" s="8" t="n"/>
      <c r="D128" s="8" t="n"/>
      <c r="E128" s="8" t="n"/>
      <c r="F128" s="8" t="n"/>
      <c r="G128" s="8" t="n"/>
      <c r="H128" s="8" t="n"/>
      <c r="I128" s="8" t="n"/>
      <c r="J128" s="8" t="n"/>
      <c r="K128" s="8" t="n"/>
      <c r="L128" s="8" t="n"/>
      <c r="M128" s="8" t="n"/>
      <c r="N128" s="8" t="n"/>
      <c r="O128" s="8" t="n"/>
      <c r="P128" s="8" t="n"/>
      <c r="Q128" s="8" t="n"/>
      <c r="R128" s="8" t="n"/>
      <c r="S128" s="8" t="n"/>
      <c r="T128" s="8" t="n"/>
      <c r="U128" s="8" t="n"/>
      <c r="V128" s="6">
        <f>IF(ISBLANK(G128),"Not started",IF(ISBLANK(M128),"Missing source",IF(LEFT(M128,5)="DRAFT","Draft - verify with EDA",IF(ISBLANK(P128),"Missing confidence",IF(ISBLANK(H128),"Missing sub-sector","OK")))))</f>
        <v/>
      </c>
    </row>
    <row r="129">
      <c r="A129" s="6" t="inlineStr">
        <is>
          <t>Stewart</t>
        </is>
      </c>
      <c r="B129" s="7">
        <f>LOWER(SUBSTITUTE(A129," ","-"))</f>
        <v/>
      </c>
      <c r="C129" s="8" t="n"/>
      <c r="D129" s="8" t="n"/>
      <c r="E129" s="8" t="n"/>
      <c r="F129" s="8" t="n"/>
      <c r="G129" s="8" t="n"/>
      <c r="H129" s="8" t="n"/>
      <c r="I129" s="8" t="n"/>
      <c r="J129" s="8" t="n"/>
      <c r="K129" s="8" t="n"/>
      <c r="L129" s="8" t="n"/>
      <c r="M129" s="8" t="n"/>
      <c r="N129" s="8" t="n"/>
      <c r="O129" s="8" t="n"/>
      <c r="P129" s="8" t="n"/>
      <c r="Q129" s="8" t="n"/>
      <c r="R129" s="8" t="n"/>
      <c r="S129" s="8" t="n"/>
      <c r="T129" s="8" t="n"/>
      <c r="U129" s="8" t="n"/>
      <c r="V129" s="6">
        <f>IF(ISBLANK(G129),"Not started",IF(ISBLANK(M129),"Missing source",IF(LEFT(M129,5)="DRAFT","Draft - verify with EDA",IF(ISBLANK(P129),"Missing confidence",IF(ISBLANK(H129),"Missing sub-sector","OK")))))</f>
        <v/>
      </c>
    </row>
    <row r="130">
      <c r="A130" s="6" t="inlineStr">
        <is>
          <t>Sumter</t>
        </is>
      </c>
      <c r="B130" s="7">
        <f>LOWER(SUBSTITUTE(A130," ","-"))</f>
        <v/>
      </c>
      <c r="C130" s="8" t="n"/>
      <c r="D130" s="8" t="n"/>
      <c r="E130" s="8" t="n"/>
      <c r="F130" s="8" t="n"/>
      <c r="G130" s="8" t="n"/>
      <c r="H130" s="8" t="n"/>
      <c r="I130" s="8" t="n"/>
      <c r="J130" s="8" t="n"/>
      <c r="K130" s="8" t="n"/>
      <c r="L130" s="8" t="n"/>
      <c r="M130" s="8" t="n"/>
      <c r="N130" s="8" t="n"/>
      <c r="O130" s="8" t="n"/>
      <c r="P130" s="8" t="n"/>
      <c r="Q130" s="8" t="n"/>
      <c r="R130" s="8" t="n"/>
      <c r="S130" s="8" t="n"/>
      <c r="T130" s="8" t="n"/>
      <c r="U130" s="8" t="n"/>
      <c r="V130" s="6">
        <f>IF(ISBLANK(G130),"Not started",IF(ISBLANK(M130),"Missing source",IF(LEFT(M130,5)="DRAFT","Draft - verify with EDA",IF(ISBLANK(P130),"Missing confidence",IF(ISBLANK(H130),"Missing sub-sector","OK")))))</f>
        <v/>
      </c>
    </row>
    <row r="131">
      <c r="A131" s="6" t="inlineStr">
        <is>
          <t>Talbot</t>
        </is>
      </c>
      <c r="B131" s="7">
        <f>LOWER(SUBSTITUTE(A131," ","-"))</f>
        <v/>
      </c>
      <c r="C131" s="8" t="n"/>
      <c r="D131" s="8" t="n"/>
      <c r="E131" s="8" t="n"/>
      <c r="F131" s="8" t="n"/>
      <c r="G131" s="8" t="n"/>
      <c r="H131" s="8" t="n"/>
      <c r="I131" s="8" t="n"/>
      <c r="J131" s="8" t="n"/>
      <c r="K131" s="8" t="n"/>
      <c r="L131" s="8" t="n"/>
      <c r="M131" s="8" t="n"/>
      <c r="N131" s="8" t="n"/>
      <c r="O131" s="8" t="n"/>
      <c r="P131" s="8" t="n"/>
      <c r="Q131" s="8" t="n"/>
      <c r="R131" s="8" t="n"/>
      <c r="S131" s="8" t="n"/>
      <c r="T131" s="8" t="n"/>
      <c r="U131" s="8" t="n"/>
      <c r="V131" s="6">
        <f>IF(ISBLANK(G131),"Not started",IF(ISBLANK(M131),"Missing source",IF(LEFT(M131,5)="DRAFT","Draft - verify with EDA",IF(ISBLANK(P131),"Missing confidence",IF(ISBLANK(H131),"Missing sub-sector","OK")))))</f>
        <v/>
      </c>
    </row>
    <row r="132">
      <c r="A132" s="6" t="inlineStr">
        <is>
          <t>Taliaferro</t>
        </is>
      </c>
      <c r="B132" s="7">
        <f>LOWER(SUBSTITUTE(A132," ","-"))</f>
        <v/>
      </c>
      <c r="C132" s="8" t="n"/>
      <c r="D132" s="8" t="n"/>
      <c r="E132" s="8" t="n"/>
      <c r="F132" s="8" t="n"/>
      <c r="G132" s="8" t="n"/>
      <c r="H132" s="8" t="n"/>
      <c r="I132" s="8" t="n"/>
      <c r="J132" s="8" t="n"/>
      <c r="K132" s="8" t="n"/>
      <c r="L132" s="8" t="n"/>
      <c r="M132" s="8" t="n"/>
      <c r="N132" s="8" t="n"/>
      <c r="O132" s="8" t="n"/>
      <c r="P132" s="8" t="n"/>
      <c r="Q132" s="8" t="n"/>
      <c r="R132" s="8" t="n"/>
      <c r="S132" s="8" t="n"/>
      <c r="T132" s="8" t="n"/>
      <c r="U132" s="8" t="n"/>
      <c r="V132" s="6">
        <f>IF(ISBLANK(G132),"Not started",IF(ISBLANK(M132),"Missing source",IF(LEFT(M132,5)="DRAFT","Draft - verify with EDA",IF(ISBLANK(P132),"Missing confidence",IF(ISBLANK(H132),"Missing sub-sector","OK")))))</f>
        <v/>
      </c>
    </row>
    <row r="133">
      <c r="A133" s="6" t="inlineStr">
        <is>
          <t>Tattnall</t>
        </is>
      </c>
      <c r="B133" s="7">
        <f>LOWER(SUBSTITUTE(A133," ","-"))</f>
        <v/>
      </c>
      <c r="C133" s="8" t="n"/>
      <c r="D133" s="8" t="n"/>
      <c r="E133" s="8" t="n"/>
      <c r="F133" s="8" t="n"/>
      <c r="G133" s="8" t="n"/>
      <c r="H133" s="8" t="n"/>
      <c r="I133" s="8" t="n"/>
      <c r="J133" s="8" t="n"/>
      <c r="K133" s="8" t="n"/>
      <c r="L133" s="8" t="n"/>
      <c r="M133" s="8" t="n"/>
      <c r="N133" s="8" t="n"/>
      <c r="O133" s="8" t="n"/>
      <c r="P133" s="8" t="n"/>
      <c r="Q133" s="8" t="n"/>
      <c r="R133" s="8" t="n"/>
      <c r="S133" s="8" t="n"/>
      <c r="T133" s="8" t="n"/>
      <c r="U133" s="8" t="n"/>
      <c r="V133" s="6">
        <f>IF(ISBLANK(G133),"Not started",IF(ISBLANK(M133),"Missing source",IF(LEFT(M133,5)="DRAFT","Draft - verify with EDA",IF(ISBLANK(P133),"Missing confidence",IF(ISBLANK(H133),"Missing sub-sector","OK")))))</f>
        <v/>
      </c>
    </row>
    <row r="134">
      <c r="A134" s="6" t="inlineStr">
        <is>
          <t>Taylor</t>
        </is>
      </c>
      <c r="B134" s="7">
        <f>LOWER(SUBSTITUTE(A134," ","-"))</f>
        <v/>
      </c>
      <c r="C134" s="8" t="n"/>
      <c r="D134" s="8" t="n"/>
      <c r="E134" s="8" t="n"/>
      <c r="F134" s="8" t="n"/>
      <c r="G134" s="8" t="n"/>
      <c r="H134" s="8" t="n"/>
      <c r="I134" s="8" t="n"/>
      <c r="J134" s="8" t="n"/>
      <c r="K134" s="8" t="n"/>
      <c r="L134" s="8" t="n"/>
      <c r="M134" s="8" t="n"/>
      <c r="N134" s="8" t="n"/>
      <c r="O134" s="8" t="n"/>
      <c r="P134" s="8" t="n"/>
      <c r="Q134" s="8" t="n"/>
      <c r="R134" s="8" t="n"/>
      <c r="S134" s="8" t="n"/>
      <c r="T134" s="8" t="n"/>
      <c r="U134" s="8" t="n"/>
      <c r="V134" s="6">
        <f>IF(ISBLANK(G134),"Not started",IF(ISBLANK(M134),"Missing source",IF(LEFT(M134,5)="DRAFT","Draft - verify with EDA",IF(ISBLANK(P134),"Missing confidence",IF(ISBLANK(H134),"Missing sub-sector","OK")))))</f>
        <v/>
      </c>
    </row>
    <row r="135">
      <c r="A135" s="6" t="inlineStr">
        <is>
          <t>Telfair</t>
        </is>
      </c>
      <c r="B135" s="7">
        <f>LOWER(SUBSTITUTE(A135," ","-"))</f>
        <v/>
      </c>
      <c r="C135" s="8" t="n"/>
      <c r="D135" s="8" t="n"/>
      <c r="E135" s="8" t="n"/>
      <c r="F135" s="8" t="n"/>
      <c r="G135" s="8" t="n"/>
      <c r="H135" s="8" t="n"/>
      <c r="I135" s="8" t="n"/>
      <c r="J135" s="8" t="n"/>
      <c r="K135" s="8" t="n"/>
      <c r="L135" s="8" t="n"/>
      <c r="M135" s="8" t="n"/>
      <c r="N135" s="8" t="n"/>
      <c r="O135" s="8" t="n"/>
      <c r="P135" s="8" t="n"/>
      <c r="Q135" s="8" t="n"/>
      <c r="R135" s="8" t="n"/>
      <c r="S135" s="8" t="n"/>
      <c r="T135" s="8" t="n"/>
      <c r="U135" s="8" t="n"/>
      <c r="V135" s="6">
        <f>IF(ISBLANK(G135),"Not started",IF(ISBLANK(M135),"Missing source",IF(LEFT(M135,5)="DRAFT","Draft - verify with EDA",IF(ISBLANK(P135),"Missing confidence",IF(ISBLANK(H135),"Missing sub-sector","OK")))))</f>
        <v/>
      </c>
    </row>
    <row r="136">
      <c r="A136" s="6" t="inlineStr">
        <is>
          <t>Terrell</t>
        </is>
      </c>
      <c r="B136" s="7">
        <f>LOWER(SUBSTITUTE(A136," ","-"))</f>
        <v/>
      </c>
      <c r="C136" s="8" t="n"/>
      <c r="D136" s="8" t="n"/>
      <c r="E136" s="8" t="n"/>
      <c r="F136" s="8" t="n"/>
      <c r="G136" s="8" t="n"/>
      <c r="H136" s="8" t="n"/>
      <c r="I136" s="8" t="n"/>
      <c r="J136" s="8" t="n"/>
      <c r="K136" s="8" t="n"/>
      <c r="L136" s="8" t="n"/>
      <c r="M136" s="8" t="n"/>
      <c r="N136" s="8" t="n"/>
      <c r="O136" s="8" t="n"/>
      <c r="P136" s="8" t="n"/>
      <c r="Q136" s="8" t="n"/>
      <c r="R136" s="8" t="n"/>
      <c r="S136" s="8" t="n"/>
      <c r="T136" s="8" t="n"/>
      <c r="U136" s="8" t="n"/>
      <c r="V136" s="6">
        <f>IF(ISBLANK(G136),"Not started",IF(ISBLANK(M136),"Missing source",IF(LEFT(M136,5)="DRAFT","Draft - verify with EDA",IF(ISBLANK(P136),"Missing confidence",IF(ISBLANK(H136),"Missing sub-sector","OK")))))</f>
        <v/>
      </c>
    </row>
    <row r="137">
      <c r="A137" s="6" t="inlineStr">
        <is>
          <t>Thomas</t>
        </is>
      </c>
      <c r="B137" s="7">
        <f>LOWER(SUBSTITUTE(A137," ","-"))</f>
        <v/>
      </c>
      <c r="C137" s="8" t="n"/>
      <c r="D137" s="8" t="n"/>
      <c r="E137" s="8" t="n"/>
      <c r="F137" s="8" t="n"/>
      <c r="G137" s="8" t="n"/>
      <c r="H137" s="8" t="n"/>
      <c r="I137" s="8" t="n"/>
      <c r="J137" s="8" t="n"/>
      <c r="K137" s="8" t="n"/>
      <c r="L137" s="8" t="n"/>
      <c r="M137" s="8" t="n"/>
      <c r="N137" s="8" t="n"/>
      <c r="O137" s="8" t="n"/>
      <c r="P137" s="8" t="n"/>
      <c r="Q137" s="8" t="n"/>
      <c r="R137" s="8" t="n"/>
      <c r="S137" s="8" t="n"/>
      <c r="T137" s="8" t="n"/>
      <c r="U137" s="8" t="n"/>
      <c r="V137" s="6">
        <f>IF(ISBLANK(G137),"Not started",IF(ISBLANK(M137),"Missing source",IF(LEFT(M137,5)="DRAFT","Draft - verify with EDA",IF(ISBLANK(P137),"Missing confidence",IF(ISBLANK(H137),"Missing sub-sector","OK")))))</f>
        <v/>
      </c>
    </row>
    <row r="138">
      <c r="A138" s="6" t="inlineStr">
        <is>
          <t>Tift</t>
        </is>
      </c>
      <c r="B138" s="7">
        <f>LOWER(SUBSTITUTE(A138," ","-"))</f>
        <v/>
      </c>
      <c r="C138" s="8" t="n"/>
      <c r="D138" s="8" t="n"/>
      <c r="E138" s="8" t="n"/>
      <c r="F138" s="8" t="n"/>
      <c r="G138" s="8" t="n"/>
      <c r="H138" s="8" t="n"/>
      <c r="I138" s="8" t="n"/>
      <c r="J138" s="8" t="n"/>
      <c r="K138" s="8" t="n"/>
      <c r="L138" s="8" t="n"/>
      <c r="M138" s="8" t="n"/>
      <c r="N138" s="8" t="n"/>
      <c r="O138" s="8" t="n"/>
      <c r="P138" s="8" t="n"/>
      <c r="Q138" s="8" t="n"/>
      <c r="R138" s="8" t="n"/>
      <c r="S138" s="8" t="n"/>
      <c r="T138" s="8" t="n"/>
      <c r="U138" s="8" t="n"/>
      <c r="V138" s="6">
        <f>IF(ISBLANK(G138),"Not started",IF(ISBLANK(M138),"Missing source",IF(LEFT(M138,5)="DRAFT","Draft - verify with EDA",IF(ISBLANK(P138),"Missing confidence",IF(ISBLANK(H138),"Missing sub-sector","OK")))))</f>
        <v/>
      </c>
    </row>
    <row r="139">
      <c r="A139" s="6" t="inlineStr">
        <is>
          <t>Toombs</t>
        </is>
      </c>
      <c r="B139" s="7">
        <f>LOWER(SUBSTITUTE(A139," ","-"))</f>
        <v/>
      </c>
      <c r="C139" s="8" t="n"/>
      <c r="D139" s="8" t="n"/>
      <c r="E139" s="8" t="n"/>
      <c r="F139" s="8" t="n"/>
      <c r="G139" s="8" t="n"/>
      <c r="H139" s="8" t="n"/>
      <c r="I139" s="8" t="n"/>
      <c r="J139" s="8" t="n"/>
      <c r="K139" s="8" t="n"/>
      <c r="L139" s="8" t="n"/>
      <c r="M139" s="8" t="n"/>
      <c r="N139" s="8" t="n"/>
      <c r="O139" s="8" t="n"/>
      <c r="P139" s="8" t="n"/>
      <c r="Q139" s="8" t="n"/>
      <c r="R139" s="8" t="n"/>
      <c r="S139" s="8" t="n"/>
      <c r="T139" s="8" t="n"/>
      <c r="U139" s="8" t="n"/>
      <c r="V139" s="6">
        <f>IF(ISBLANK(G139),"Not started",IF(ISBLANK(M139),"Missing source",IF(LEFT(M139,5)="DRAFT","Draft - verify with EDA",IF(ISBLANK(P139),"Missing confidence",IF(ISBLANK(H139),"Missing sub-sector","OK")))))</f>
        <v/>
      </c>
    </row>
    <row r="140">
      <c r="A140" s="6" t="inlineStr">
        <is>
          <t>Towns</t>
        </is>
      </c>
      <c r="B140" s="7">
        <f>LOWER(SUBSTITUTE(A140," ","-"))</f>
        <v/>
      </c>
      <c r="C140" s="8" t="n"/>
      <c r="D140" s="8" t="n"/>
      <c r="E140" s="8" t="n"/>
      <c r="F140" s="8" t="n"/>
      <c r="G140" s="8" t="n"/>
      <c r="H140" s="8" t="n"/>
      <c r="I140" s="8" t="n"/>
      <c r="J140" s="8" t="n"/>
      <c r="K140" s="8" t="n"/>
      <c r="L140" s="8" t="n"/>
      <c r="M140" s="8" t="n"/>
      <c r="N140" s="8" t="n"/>
      <c r="O140" s="8" t="n"/>
      <c r="P140" s="8" t="n"/>
      <c r="Q140" s="8" t="n"/>
      <c r="R140" s="8" t="n"/>
      <c r="S140" s="8" t="n"/>
      <c r="T140" s="8" t="n"/>
      <c r="U140" s="8" t="n"/>
      <c r="V140" s="6">
        <f>IF(ISBLANK(G140),"Not started",IF(ISBLANK(M140),"Missing source",IF(LEFT(M140,5)="DRAFT","Draft - verify with EDA",IF(ISBLANK(P140),"Missing confidence",IF(ISBLANK(H140),"Missing sub-sector","OK")))))</f>
        <v/>
      </c>
    </row>
    <row r="141">
      <c r="A141" s="6" t="inlineStr">
        <is>
          <t>Treutlen</t>
        </is>
      </c>
      <c r="B141" s="7">
        <f>LOWER(SUBSTITUTE(A141," ","-"))</f>
        <v/>
      </c>
      <c r="C141" s="8" t="n"/>
      <c r="D141" s="8" t="n"/>
      <c r="E141" s="8" t="n"/>
      <c r="F141" s="8" t="n"/>
      <c r="G141" s="8" t="n"/>
      <c r="H141" s="8" t="n"/>
      <c r="I141" s="8" t="n"/>
      <c r="J141" s="8" t="n"/>
      <c r="K141" s="8" t="n"/>
      <c r="L141" s="8" t="n"/>
      <c r="M141" s="8" t="n"/>
      <c r="N141" s="8" t="n"/>
      <c r="O141" s="8" t="n"/>
      <c r="P141" s="8" t="n"/>
      <c r="Q141" s="8" t="n"/>
      <c r="R141" s="8" t="n"/>
      <c r="S141" s="8" t="n"/>
      <c r="T141" s="8" t="n"/>
      <c r="U141" s="8" t="n"/>
      <c r="V141" s="6">
        <f>IF(ISBLANK(G141),"Not started",IF(ISBLANK(M141),"Missing source",IF(LEFT(M141,5)="DRAFT","Draft - verify with EDA",IF(ISBLANK(P141),"Missing confidence",IF(ISBLANK(H141),"Missing sub-sector","OK")))))</f>
        <v/>
      </c>
    </row>
    <row r="142">
      <c r="A142" s="6" t="inlineStr">
        <is>
          <t>Troup</t>
        </is>
      </c>
      <c r="B142" s="7">
        <f>LOWER(SUBSTITUTE(A142," ","-"))</f>
        <v/>
      </c>
      <c r="C142" s="8" t="n"/>
      <c r="D142" s="8" t="n"/>
      <c r="E142" s="8" t="n"/>
      <c r="F142" s="8" t="n"/>
      <c r="G142" s="8" t="n"/>
      <c r="H142" s="8" t="n"/>
      <c r="I142" s="8" t="n"/>
      <c r="J142" s="8" t="n"/>
      <c r="K142" s="8" t="n"/>
      <c r="L142" s="8" t="n"/>
      <c r="M142" s="8" t="n"/>
      <c r="N142" s="8" t="n"/>
      <c r="O142" s="8" t="n"/>
      <c r="P142" s="8" t="n"/>
      <c r="Q142" s="8" t="n"/>
      <c r="R142" s="8" t="n"/>
      <c r="S142" s="8" t="n"/>
      <c r="T142" s="8" t="n"/>
      <c r="U142" s="8" t="n"/>
      <c r="V142" s="6">
        <f>IF(ISBLANK(G142),"Not started",IF(ISBLANK(M142),"Missing source",IF(LEFT(M142,5)="DRAFT","Draft - verify with EDA",IF(ISBLANK(P142),"Missing confidence",IF(ISBLANK(H142),"Missing sub-sector","OK")))))</f>
        <v/>
      </c>
    </row>
    <row r="143">
      <c r="A143" s="6" t="inlineStr">
        <is>
          <t>Turner</t>
        </is>
      </c>
      <c r="B143" s="7">
        <f>LOWER(SUBSTITUTE(A143," ","-"))</f>
        <v/>
      </c>
      <c r="C143" s="8" t="n"/>
      <c r="D143" s="8" t="n"/>
      <c r="E143" s="8" t="n"/>
      <c r="F143" s="8" t="n"/>
      <c r="G143" s="8" t="n"/>
      <c r="H143" s="8" t="n"/>
      <c r="I143" s="8" t="n"/>
      <c r="J143" s="8" t="n"/>
      <c r="K143" s="8" t="n"/>
      <c r="L143" s="8" t="n"/>
      <c r="M143" s="8" t="n"/>
      <c r="N143" s="8" t="n"/>
      <c r="O143" s="8" t="n"/>
      <c r="P143" s="8" t="n"/>
      <c r="Q143" s="8" t="n"/>
      <c r="R143" s="8" t="n"/>
      <c r="S143" s="8" t="n"/>
      <c r="T143" s="8" t="n"/>
      <c r="U143" s="8" t="n"/>
      <c r="V143" s="6">
        <f>IF(ISBLANK(G143),"Not started",IF(ISBLANK(M143),"Missing source",IF(LEFT(M143,5)="DRAFT","Draft - verify with EDA",IF(ISBLANK(P143),"Missing confidence",IF(ISBLANK(H143),"Missing sub-sector","OK")))))</f>
        <v/>
      </c>
    </row>
    <row r="144">
      <c r="A144" s="6" t="inlineStr">
        <is>
          <t>Twiggs</t>
        </is>
      </c>
      <c r="B144" s="7">
        <f>LOWER(SUBSTITUTE(A144," ","-"))</f>
        <v/>
      </c>
      <c r="C144" s="8" t="n"/>
      <c r="D144" s="8" t="n"/>
      <c r="E144" s="8" t="n"/>
      <c r="F144" s="8" t="n"/>
      <c r="G144" s="8" t="n"/>
      <c r="H144" s="8" t="n"/>
      <c r="I144" s="8" t="n"/>
      <c r="J144" s="8" t="n"/>
      <c r="K144" s="8" t="n"/>
      <c r="L144" s="8" t="n"/>
      <c r="M144" s="8" t="n"/>
      <c r="N144" s="8" t="n"/>
      <c r="O144" s="8" t="n"/>
      <c r="P144" s="8" t="n"/>
      <c r="Q144" s="8" t="n"/>
      <c r="R144" s="8" t="n"/>
      <c r="S144" s="8" t="n"/>
      <c r="T144" s="8" t="n"/>
      <c r="U144" s="8" t="n"/>
      <c r="V144" s="6">
        <f>IF(ISBLANK(G144),"Not started",IF(ISBLANK(M144),"Missing source",IF(LEFT(M144,5)="DRAFT","Draft - verify with EDA",IF(ISBLANK(P144),"Missing confidence",IF(ISBLANK(H144),"Missing sub-sector","OK")))))</f>
        <v/>
      </c>
    </row>
    <row r="145">
      <c r="A145" s="6" t="inlineStr">
        <is>
          <t>Union</t>
        </is>
      </c>
      <c r="B145" s="7">
        <f>LOWER(SUBSTITUTE(A145," ","-"))</f>
        <v/>
      </c>
      <c r="C145" s="8" t="n"/>
      <c r="D145" s="8" t="n"/>
      <c r="E145" s="8" t="n"/>
      <c r="F145" s="8" t="n"/>
      <c r="G145" s="8" t="n"/>
      <c r="H145" s="8" t="n"/>
      <c r="I145" s="8" t="n"/>
      <c r="J145" s="8" t="n"/>
      <c r="K145" s="8" t="n"/>
      <c r="L145" s="8" t="n"/>
      <c r="M145" s="8" t="n"/>
      <c r="N145" s="8" t="n"/>
      <c r="O145" s="8" t="n"/>
      <c r="P145" s="8" t="n"/>
      <c r="Q145" s="8" t="n"/>
      <c r="R145" s="8" t="n"/>
      <c r="S145" s="8" t="n"/>
      <c r="T145" s="8" t="n"/>
      <c r="U145" s="8" t="n"/>
      <c r="V145" s="6">
        <f>IF(ISBLANK(G145),"Not started",IF(ISBLANK(M145),"Missing source",IF(LEFT(M145,5)="DRAFT","Draft - verify with EDA",IF(ISBLANK(P145),"Missing confidence",IF(ISBLANK(H145),"Missing sub-sector","OK")))))</f>
        <v/>
      </c>
    </row>
    <row r="146">
      <c r="A146" s="6" t="inlineStr">
        <is>
          <t>Upson</t>
        </is>
      </c>
      <c r="B146" s="7">
        <f>LOWER(SUBSTITUTE(A146," ","-"))</f>
        <v/>
      </c>
      <c r="C146" s="8" t="n"/>
      <c r="D146" s="8" t="n"/>
      <c r="E146" s="8" t="n"/>
      <c r="F146" s="8" t="n"/>
      <c r="G146" s="8" t="n"/>
      <c r="H146" s="8" t="n"/>
      <c r="I146" s="8" t="n"/>
      <c r="J146" s="8" t="n"/>
      <c r="K146" s="8" t="n"/>
      <c r="L146" s="8" t="n"/>
      <c r="M146" s="8" t="n"/>
      <c r="N146" s="8" t="n"/>
      <c r="O146" s="8" t="n"/>
      <c r="P146" s="8" t="n"/>
      <c r="Q146" s="8" t="n"/>
      <c r="R146" s="8" t="n"/>
      <c r="S146" s="8" t="n"/>
      <c r="T146" s="8" t="n"/>
      <c r="U146" s="8" t="n"/>
      <c r="V146" s="6">
        <f>IF(ISBLANK(G146),"Not started",IF(ISBLANK(M146),"Missing source",IF(LEFT(M146,5)="DRAFT","Draft - verify with EDA",IF(ISBLANK(P146),"Missing confidence",IF(ISBLANK(H146),"Missing sub-sector","OK")))))</f>
        <v/>
      </c>
    </row>
    <row r="147">
      <c r="A147" s="6" t="inlineStr">
        <is>
          <t>Walker</t>
        </is>
      </c>
      <c r="B147" s="7">
        <f>LOWER(SUBSTITUTE(A147," ","-"))</f>
        <v/>
      </c>
      <c r="C147" s="8" t="n"/>
      <c r="D147" s="8" t="n"/>
      <c r="E147" s="8" t="n"/>
      <c r="F147" s="8" t="n"/>
      <c r="G147" s="8" t="n"/>
      <c r="H147" s="8" t="n"/>
      <c r="I147" s="8" t="n"/>
      <c r="J147" s="8" t="n"/>
      <c r="K147" s="8" t="n"/>
      <c r="L147" s="8" t="n"/>
      <c r="M147" s="8" t="n"/>
      <c r="N147" s="8" t="n"/>
      <c r="O147" s="8" t="n"/>
      <c r="P147" s="8" t="n"/>
      <c r="Q147" s="8" t="n"/>
      <c r="R147" s="8" t="n"/>
      <c r="S147" s="8" t="n"/>
      <c r="T147" s="8" t="n"/>
      <c r="U147" s="8" t="n"/>
      <c r="V147" s="6">
        <f>IF(ISBLANK(G147),"Not started",IF(ISBLANK(M147),"Missing source",IF(LEFT(M147,5)="DRAFT","Draft - verify with EDA",IF(ISBLANK(P147),"Missing confidence",IF(ISBLANK(H147),"Missing sub-sector","OK")))))</f>
        <v/>
      </c>
    </row>
    <row r="148">
      <c r="A148" s="6" t="inlineStr">
        <is>
          <t>Walton</t>
        </is>
      </c>
      <c r="B148" s="7">
        <f>LOWER(SUBSTITUTE(A148," ","-"))</f>
        <v/>
      </c>
      <c r="C148" s="8" t="n"/>
      <c r="D148" s="8" t="n"/>
      <c r="E148" s="8" t="n"/>
      <c r="F148" s="8" t="n"/>
      <c r="G148" s="8" t="n"/>
      <c r="H148" s="8" t="n"/>
      <c r="I148" s="8" t="n"/>
      <c r="J148" s="8" t="n"/>
      <c r="K148" s="8" t="n"/>
      <c r="L148" s="8" t="n"/>
      <c r="M148" s="8" t="n"/>
      <c r="N148" s="8" t="n"/>
      <c r="O148" s="8" t="n"/>
      <c r="P148" s="8" t="n"/>
      <c r="Q148" s="8" t="n"/>
      <c r="R148" s="8" t="n"/>
      <c r="S148" s="8" t="n"/>
      <c r="T148" s="8" t="n"/>
      <c r="U148" s="8" t="n"/>
      <c r="V148" s="6">
        <f>IF(ISBLANK(G148),"Not started",IF(ISBLANK(M148),"Missing source",IF(LEFT(M148,5)="DRAFT","Draft - verify with EDA",IF(ISBLANK(P148),"Missing confidence",IF(ISBLANK(H148),"Missing sub-sector","OK")))))</f>
        <v/>
      </c>
    </row>
    <row r="149">
      <c r="A149" s="6" t="inlineStr">
        <is>
          <t>Ware</t>
        </is>
      </c>
      <c r="B149" s="7">
        <f>LOWER(SUBSTITUTE(A149," ","-"))</f>
        <v/>
      </c>
      <c r="C149" s="9" t="n"/>
      <c r="D149" s="9" t="inlineStr">
        <is>
          <t>Waycross</t>
        </is>
      </c>
      <c r="E149" s="9" t="inlineStr">
        <is>
          <t>9 - Heart of Georgia Altamaha</t>
        </is>
      </c>
      <c r="F149" s="9" t="inlineStr">
        <is>
          <t>Waycross-Ware County Development Authority</t>
        </is>
      </c>
      <c r="G149" s="9" t="inlineStr">
        <is>
          <t>Advanced Manufacturing</t>
        </is>
      </c>
      <c r="H149" s="9" t="inlineStr">
        <is>
          <t>Forest Products &amp; Packaging</t>
        </is>
      </c>
      <c r="I149" s="9" t="inlineStr">
        <is>
          <t>Healthcare</t>
        </is>
      </c>
      <c r="J149" s="9" t="inlineStr">
        <is>
          <t>Hospitals &amp; Health Systems</t>
        </is>
      </c>
      <c r="K149" s="9" t="inlineStr">
        <is>
          <t>Professional Services &amp; HQ</t>
        </is>
      </c>
      <c r="L149" s="9" t="inlineStr">
        <is>
          <t>Logistics &amp; Supply Chain Management</t>
        </is>
      </c>
      <c r="M149" s="9" t="inlineStr">
        <is>
          <t>DRAFT - to be confirmed with EDA</t>
        </is>
      </c>
      <c r="N149" s="9" t="n"/>
      <c r="O149" s="9" t="n"/>
      <c r="P149" s="9" t="inlineStr">
        <is>
          <t>Low</t>
        </is>
      </c>
      <c r="Q149" s="9" t="n"/>
      <c r="R149" s="9" t="n"/>
      <c r="S149" s="9" t="n"/>
      <c r="T149" s="9" t="n"/>
      <c r="U149" s="9" t="inlineStr">
        <is>
          <t>DRAFT - verify with EDA. Coastal Pines main campus in Waycross; CSX rail operations.</t>
        </is>
      </c>
      <c r="V149" s="6">
        <f>IF(ISBLANK(G149),"Not started",IF(ISBLANK(M149),"Missing source",IF(LEFT(M149,5)="DRAFT","Draft - verify with EDA",IF(ISBLANK(P149),"Missing confidence",IF(ISBLANK(H149),"Missing sub-sector","OK")))))</f>
        <v/>
      </c>
    </row>
    <row r="150">
      <c r="A150" s="6" t="inlineStr">
        <is>
          <t>Warren</t>
        </is>
      </c>
      <c r="B150" s="7">
        <f>LOWER(SUBSTITUTE(A150," ","-"))</f>
        <v/>
      </c>
      <c r="C150" s="8" t="n"/>
      <c r="D150" s="8" t="n"/>
      <c r="E150" s="8" t="n"/>
      <c r="F150" s="8" t="n"/>
      <c r="G150" s="8" t="n"/>
      <c r="H150" s="8" t="n"/>
      <c r="I150" s="8" t="n"/>
      <c r="J150" s="8" t="n"/>
      <c r="K150" s="8" t="n"/>
      <c r="L150" s="8" t="n"/>
      <c r="M150" s="8" t="n"/>
      <c r="N150" s="8" t="n"/>
      <c r="O150" s="8" t="n"/>
      <c r="P150" s="8" t="n"/>
      <c r="Q150" s="8" t="n"/>
      <c r="R150" s="8" t="n"/>
      <c r="S150" s="8" t="n"/>
      <c r="T150" s="8" t="n"/>
      <c r="U150" s="8" t="n"/>
      <c r="V150" s="6">
        <f>IF(ISBLANK(G150),"Not started",IF(ISBLANK(M150),"Missing source",IF(LEFT(M150,5)="DRAFT","Draft - verify with EDA",IF(ISBLANK(P150),"Missing confidence",IF(ISBLANK(H150),"Missing sub-sector","OK")))))</f>
        <v/>
      </c>
    </row>
    <row r="151">
      <c r="A151" s="6" t="inlineStr">
        <is>
          <t>Washington</t>
        </is>
      </c>
      <c r="B151" s="7">
        <f>LOWER(SUBSTITUTE(A151," ","-"))</f>
        <v/>
      </c>
      <c r="C151" s="8" t="n"/>
      <c r="D151" s="8" t="n"/>
      <c r="E151" s="8" t="n"/>
      <c r="F151" s="8" t="n"/>
      <c r="G151" s="8" t="n"/>
      <c r="H151" s="8" t="n"/>
      <c r="I151" s="8" t="n"/>
      <c r="J151" s="8" t="n"/>
      <c r="K151" s="8" t="n"/>
      <c r="L151" s="8" t="n"/>
      <c r="M151" s="8" t="n"/>
      <c r="N151" s="8" t="n"/>
      <c r="O151" s="8" t="n"/>
      <c r="P151" s="8" t="n"/>
      <c r="Q151" s="8" t="n"/>
      <c r="R151" s="8" t="n"/>
      <c r="S151" s="8" t="n"/>
      <c r="T151" s="8" t="n"/>
      <c r="U151" s="8" t="n"/>
      <c r="V151" s="6">
        <f>IF(ISBLANK(G151),"Not started",IF(ISBLANK(M151),"Missing source",IF(LEFT(M151,5)="DRAFT","Draft - verify with EDA",IF(ISBLANK(P151),"Missing confidence",IF(ISBLANK(H151),"Missing sub-sector","OK")))))</f>
        <v/>
      </c>
    </row>
    <row r="152">
      <c r="A152" s="6" t="inlineStr">
        <is>
          <t>Wayne</t>
        </is>
      </c>
      <c r="B152" s="7">
        <f>LOWER(SUBSTITUTE(A152," ","-"))</f>
        <v/>
      </c>
      <c r="C152" s="8" t="n"/>
      <c r="D152" s="8" t="n"/>
      <c r="E152" s="8" t="n"/>
      <c r="F152" s="8" t="n"/>
      <c r="G152" s="8" t="n"/>
      <c r="H152" s="8" t="n"/>
      <c r="I152" s="8" t="n"/>
      <c r="J152" s="8" t="n"/>
      <c r="K152" s="8" t="n"/>
      <c r="L152" s="8" t="n"/>
      <c r="M152" s="8" t="n"/>
      <c r="N152" s="8" t="n"/>
      <c r="O152" s="8" t="n"/>
      <c r="P152" s="8" t="n"/>
      <c r="Q152" s="8" t="n"/>
      <c r="R152" s="8" t="n"/>
      <c r="S152" s="8" t="n"/>
      <c r="T152" s="8" t="n"/>
      <c r="U152" s="8" t="n"/>
      <c r="V152" s="6">
        <f>IF(ISBLANK(G152),"Not started",IF(ISBLANK(M152),"Missing source",IF(LEFT(M152,5)="DRAFT","Draft - verify with EDA",IF(ISBLANK(P152),"Missing confidence",IF(ISBLANK(H152),"Missing sub-sector","OK")))))</f>
        <v/>
      </c>
    </row>
    <row r="153">
      <c r="A153" s="6" t="inlineStr">
        <is>
          <t>Webster</t>
        </is>
      </c>
      <c r="B153" s="7">
        <f>LOWER(SUBSTITUTE(A153," ","-"))</f>
        <v/>
      </c>
      <c r="C153" s="8" t="n"/>
      <c r="D153" s="8" t="n"/>
      <c r="E153" s="8" t="n"/>
      <c r="F153" s="8" t="n"/>
      <c r="G153" s="8" t="n"/>
      <c r="H153" s="8" t="n"/>
      <c r="I153" s="8" t="n"/>
      <c r="J153" s="8" t="n"/>
      <c r="K153" s="8" t="n"/>
      <c r="L153" s="8" t="n"/>
      <c r="M153" s="8" t="n"/>
      <c r="N153" s="8" t="n"/>
      <c r="O153" s="8" t="n"/>
      <c r="P153" s="8" t="n"/>
      <c r="Q153" s="8" t="n"/>
      <c r="R153" s="8" t="n"/>
      <c r="S153" s="8" t="n"/>
      <c r="T153" s="8" t="n"/>
      <c r="U153" s="8" t="n"/>
      <c r="V153" s="6">
        <f>IF(ISBLANK(G153),"Not started",IF(ISBLANK(M153),"Missing source",IF(LEFT(M153,5)="DRAFT","Draft - verify with EDA",IF(ISBLANK(P153),"Missing confidence",IF(ISBLANK(H153),"Missing sub-sector","OK")))))</f>
        <v/>
      </c>
    </row>
    <row r="154">
      <c r="A154" s="6" t="inlineStr">
        <is>
          <t>Wheeler</t>
        </is>
      </c>
      <c r="B154" s="7">
        <f>LOWER(SUBSTITUTE(A154," ","-"))</f>
        <v/>
      </c>
      <c r="C154" s="8" t="n"/>
      <c r="D154" s="8" t="n"/>
      <c r="E154" s="8" t="n"/>
      <c r="F154" s="8" t="n"/>
      <c r="G154" s="8" t="n"/>
      <c r="H154" s="8" t="n"/>
      <c r="I154" s="8" t="n"/>
      <c r="J154" s="8" t="n"/>
      <c r="K154" s="8" t="n"/>
      <c r="L154" s="8" t="n"/>
      <c r="M154" s="8" t="n"/>
      <c r="N154" s="8" t="n"/>
      <c r="O154" s="8" t="n"/>
      <c r="P154" s="8" t="n"/>
      <c r="Q154" s="8" t="n"/>
      <c r="R154" s="8" t="n"/>
      <c r="S154" s="8" t="n"/>
      <c r="T154" s="8" t="n"/>
      <c r="U154" s="8" t="n"/>
      <c r="V154" s="6">
        <f>IF(ISBLANK(G154),"Not started",IF(ISBLANK(M154),"Missing source",IF(LEFT(M154,5)="DRAFT","Draft - verify with EDA",IF(ISBLANK(P154),"Missing confidence",IF(ISBLANK(H154),"Missing sub-sector","OK")))))</f>
        <v/>
      </c>
    </row>
    <row r="155">
      <c r="A155" s="6" t="inlineStr">
        <is>
          <t>White</t>
        </is>
      </c>
      <c r="B155" s="7">
        <f>LOWER(SUBSTITUTE(A155," ","-"))</f>
        <v/>
      </c>
      <c r="C155" s="8" t="n"/>
      <c r="D155" s="8" t="n"/>
      <c r="E155" s="8" t="n"/>
      <c r="F155" s="8" t="n"/>
      <c r="G155" s="8" t="n"/>
      <c r="H155" s="8" t="n"/>
      <c r="I155" s="8" t="n"/>
      <c r="J155" s="8" t="n"/>
      <c r="K155" s="8" t="n"/>
      <c r="L155" s="8" t="n"/>
      <c r="M155" s="8" t="n"/>
      <c r="N155" s="8" t="n"/>
      <c r="O155" s="8" t="n"/>
      <c r="P155" s="8" t="n"/>
      <c r="Q155" s="8" t="n"/>
      <c r="R155" s="8" t="n"/>
      <c r="S155" s="8" t="n"/>
      <c r="T155" s="8" t="n"/>
      <c r="U155" s="8" t="n"/>
      <c r="V155" s="6">
        <f>IF(ISBLANK(G155),"Not started",IF(ISBLANK(M155),"Missing source",IF(LEFT(M155,5)="DRAFT","Draft - verify with EDA",IF(ISBLANK(P155),"Missing confidence",IF(ISBLANK(H155),"Missing sub-sector","OK")))))</f>
        <v/>
      </c>
    </row>
    <row r="156">
      <c r="A156" s="6" t="inlineStr">
        <is>
          <t>Whitfield</t>
        </is>
      </c>
      <c r="B156" s="7">
        <f>LOWER(SUBSTITUTE(A156," ","-"))</f>
        <v/>
      </c>
      <c r="C156" s="8" t="n"/>
      <c r="D156" s="8" t="n"/>
      <c r="E156" s="8" t="n"/>
      <c r="F156" s="8" t="n"/>
      <c r="G156" s="8" t="n"/>
      <c r="H156" s="8" t="n"/>
      <c r="I156" s="8" t="n"/>
      <c r="J156" s="8" t="n"/>
      <c r="K156" s="8" t="n"/>
      <c r="L156" s="8" t="n"/>
      <c r="M156" s="8" t="n"/>
      <c r="N156" s="8" t="n"/>
      <c r="O156" s="8" t="n"/>
      <c r="P156" s="8" t="n"/>
      <c r="Q156" s="8" t="n"/>
      <c r="R156" s="8" t="n"/>
      <c r="S156" s="8" t="n"/>
      <c r="T156" s="8" t="n"/>
      <c r="U156" s="8" t="n"/>
      <c r="V156" s="6">
        <f>IF(ISBLANK(G156),"Not started",IF(ISBLANK(M156),"Missing source",IF(LEFT(M156,5)="DRAFT","Draft - verify with EDA",IF(ISBLANK(P156),"Missing confidence",IF(ISBLANK(H156),"Missing sub-sector","OK")))))</f>
        <v/>
      </c>
    </row>
    <row r="157">
      <c r="A157" s="6" t="inlineStr">
        <is>
          <t>Wilcox</t>
        </is>
      </c>
      <c r="B157" s="7">
        <f>LOWER(SUBSTITUTE(A157," ","-"))</f>
        <v/>
      </c>
      <c r="C157" s="8" t="n"/>
      <c r="D157" s="8" t="n"/>
      <c r="E157" s="8" t="n"/>
      <c r="F157" s="8" t="n"/>
      <c r="G157" s="8" t="n"/>
      <c r="H157" s="8" t="n"/>
      <c r="I157" s="8" t="n"/>
      <c r="J157" s="8" t="n"/>
      <c r="K157" s="8" t="n"/>
      <c r="L157" s="8" t="n"/>
      <c r="M157" s="8" t="n"/>
      <c r="N157" s="8" t="n"/>
      <c r="O157" s="8" t="n"/>
      <c r="P157" s="8" t="n"/>
      <c r="Q157" s="8" t="n"/>
      <c r="R157" s="8" t="n"/>
      <c r="S157" s="8" t="n"/>
      <c r="T157" s="8" t="n"/>
      <c r="U157" s="8" t="n"/>
      <c r="V157" s="6">
        <f>IF(ISBLANK(G157),"Not started",IF(ISBLANK(M157),"Missing source",IF(LEFT(M157,5)="DRAFT","Draft - verify with EDA",IF(ISBLANK(P157),"Missing confidence",IF(ISBLANK(H157),"Missing sub-sector","OK")))))</f>
        <v/>
      </c>
    </row>
    <row r="158">
      <c r="A158" s="6" t="inlineStr">
        <is>
          <t>Wilkes</t>
        </is>
      </c>
      <c r="B158" s="7">
        <f>LOWER(SUBSTITUTE(A158," ","-"))</f>
        <v/>
      </c>
      <c r="C158" s="8" t="n"/>
      <c r="D158" s="8" t="n"/>
      <c r="E158" s="8" t="n"/>
      <c r="F158" s="8" t="n"/>
      <c r="G158" s="8" t="n"/>
      <c r="H158" s="8" t="n"/>
      <c r="I158" s="8" t="n"/>
      <c r="J158" s="8" t="n"/>
      <c r="K158" s="8" t="n"/>
      <c r="L158" s="8" t="n"/>
      <c r="M158" s="8" t="n"/>
      <c r="N158" s="8" t="n"/>
      <c r="O158" s="8" t="n"/>
      <c r="P158" s="8" t="n"/>
      <c r="Q158" s="8" t="n"/>
      <c r="R158" s="8" t="n"/>
      <c r="S158" s="8" t="n"/>
      <c r="T158" s="8" t="n"/>
      <c r="U158" s="8" t="n"/>
      <c r="V158" s="6">
        <f>IF(ISBLANK(G158),"Not started",IF(ISBLANK(M158),"Missing source",IF(LEFT(M158,5)="DRAFT","Draft - verify with EDA",IF(ISBLANK(P158),"Missing confidence",IF(ISBLANK(H158),"Missing sub-sector","OK")))))</f>
        <v/>
      </c>
    </row>
    <row r="159">
      <c r="A159" s="6" t="inlineStr">
        <is>
          <t>Wilkinson</t>
        </is>
      </c>
      <c r="B159" s="7">
        <f>LOWER(SUBSTITUTE(A159," ","-"))</f>
        <v/>
      </c>
      <c r="C159" s="8" t="n"/>
      <c r="D159" s="8" t="n"/>
      <c r="E159" s="8" t="n"/>
      <c r="F159" s="8" t="n"/>
      <c r="G159" s="8" t="n"/>
      <c r="H159" s="8" t="n"/>
      <c r="I159" s="8" t="n"/>
      <c r="J159" s="8" t="n"/>
      <c r="K159" s="8" t="n"/>
      <c r="L159" s="8" t="n"/>
      <c r="M159" s="8" t="n"/>
      <c r="N159" s="8" t="n"/>
      <c r="O159" s="8" t="n"/>
      <c r="P159" s="8" t="n"/>
      <c r="Q159" s="8" t="n"/>
      <c r="R159" s="8" t="n"/>
      <c r="S159" s="8" t="n"/>
      <c r="T159" s="8" t="n"/>
      <c r="U159" s="8" t="n"/>
      <c r="V159" s="6">
        <f>IF(ISBLANK(G159),"Not started",IF(ISBLANK(M159),"Missing source",IF(LEFT(M159,5)="DRAFT","Draft - verify with EDA",IF(ISBLANK(P159),"Missing confidence",IF(ISBLANK(H159),"Missing sub-sector","OK")))))</f>
        <v/>
      </c>
    </row>
    <row r="160">
      <c r="A160" s="6" t="inlineStr">
        <is>
          <t>Worth</t>
        </is>
      </c>
      <c r="B160" s="7">
        <f>LOWER(SUBSTITUTE(A160," ","-"))</f>
        <v/>
      </c>
      <c r="C160" s="8" t="n"/>
      <c r="D160" s="8" t="n"/>
      <c r="E160" s="8" t="n"/>
      <c r="F160" s="8" t="n"/>
      <c r="G160" s="8" t="n"/>
      <c r="H160" s="8" t="n"/>
      <c r="I160" s="8" t="n"/>
      <c r="J160" s="8" t="n"/>
      <c r="K160" s="8" t="n"/>
      <c r="L160" s="8" t="n"/>
      <c r="M160" s="8" t="n"/>
      <c r="N160" s="8" t="n"/>
      <c r="O160" s="8" t="n"/>
      <c r="P160" s="8" t="n"/>
      <c r="Q160" s="8" t="n"/>
      <c r="R160" s="8" t="n"/>
      <c r="S160" s="8" t="n"/>
      <c r="T160" s="8" t="n"/>
      <c r="U160" s="8" t="n"/>
      <c r="V160" s="6">
        <f>IF(ISBLANK(G160),"Not started",IF(ISBLANK(M160),"Missing source",IF(LEFT(M160,5)="DRAFT","Draft - verify with EDA",IF(ISBLANK(P160),"Missing confidence",IF(ISBLANK(H160),"Missing sub-sector","OK")))))</f>
        <v/>
      </c>
    </row>
  </sheetData>
  <autoFilter ref="A1:V160"/>
  <dataValidations count="8">
    <dataValidation sqref="E2:E160" showDropDown="0" showInputMessage="0" showErrorMessage="0" allowBlank="1" errorTitle="Not on the list" error="Pick a value from the list, or add it to the Reference sheet first." type="list">
      <formula1>=Reference!$I$5:$I$16</formula1>
    </dataValidation>
    <dataValidation sqref="G2:G160" showDropDown="0" showInputMessage="0" showErrorMessage="0" allowBlank="1" errorTitle="Not on the list" error="Pick a value from the list, or add it to the Reference sheet first." type="list">
      <formula1>=Reference!$A$5:$A$9</formula1>
    </dataValidation>
    <dataValidation sqref="I2:I160" showDropDown="0" showInputMessage="0" showErrorMessage="0" allowBlank="1" errorTitle="Not on the list" error="Pick a value from the list, or add it to the Reference sheet first." type="list">
      <formula1>=Reference!$A$5:$A$9</formula1>
    </dataValidation>
    <dataValidation sqref="K2:K160" showDropDown="0" showInputMessage="0" showErrorMessage="0" allowBlank="1" errorTitle="Not on the list" error="Pick a value from the list, or add it to the Reference sheet first." type="list">
      <formula1>=Reference!$A$5:$A$9</formula1>
    </dataValidation>
    <dataValidation sqref="H2:H160" showDropDown="0" showInputMessage="0" showErrorMessage="0" allowBlank="1" errorTitle="Not on the list" error="Pick a value from the list, or add it to the Reference sheet first." type="list">
      <formula1>=Reference!$B$5:$B$31</formula1>
    </dataValidation>
    <dataValidation sqref="J2:J160" showDropDown="0" showInputMessage="0" showErrorMessage="0" allowBlank="1" errorTitle="Not on the list" error="Pick a value from the list, or add it to the Reference sheet first." type="list">
      <formula1>=Reference!$B$5:$B$31</formula1>
    </dataValidation>
    <dataValidation sqref="L2:L160" showDropDown="0" showInputMessage="0" showErrorMessage="0" allowBlank="1" errorTitle="Not on the list" error="Pick a value from the list, or add it to the Reference sheet first." type="list">
      <formula1>=Reference!$B$5:$B$31</formula1>
    </dataValidation>
    <dataValidation sqref="P2:P160" showDropDown="0" showInputMessage="0" showErrorMessage="0" allowBlank="1" errorTitle="Not on the list" error="Pick a value from the list, or add it to the Reference sheet first." type="list">
      <formula1>=Reference!$G$5:$G$7</formula1>
    </dataValidation>
  </dataValidations>
  <pageMargins left="0.75" right="0.75" top="1" bottom="1" header="0.5" footer="0.5"/>
</worksheet>
</file>

<file path=xl/worksheets/sheet3.xml><?xml version="1.0" encoding="utf-8"?>
<worksheet xmlns="http://schemas.openxmlformats.org/spreadsheetml/2006/main">
  <sheetPr>
    <tabColor rgb="005C6672"/>
    <outlinePr summaryBelow="1" summaryRight="1"/>
    <pageSetUpPr/>
  </sheetPr>
  <dimension ref="A1:C35"/>
  <sheetViews>
    <sheetView showGridLines="0" workbookViewId="0">
      <selection activeCell="A1" sqref="A1"/>
    </sheetView>
  </sheetViews>
  <sheetFormatPr baseColWidth="8" defaultRowHeight="15"/>
  <cols>
    <col width="44" customWidth="1" min="1" max="1"/>
    <col width="12" customWidth="1" min="2" max="2"/>
    <col width="12" customWidth="1" min="3" max="3"/>
  </cols>
  <sheetData>
    <row r="1" ht="22" customHeight="1">
      <c r="A1" s="10" t="inlineStr">
        <is>
          <t>Research progress</t>
        </is>
      </c>
    </row>
    <row r="2" ht="18" customHeight="1">
      <c r="A2" s="11" t="inlineStr">
        <is>
          <t>All figures calculate from the Counties tab. Nothing here needs editing.</t>
        </is>
      </c>
    </row>
    <row r="4">
      <c r="A4" s="4" t="inlineStr">
        <is>
          <t>Coverage</t>
        </is>
      </c>
    </row>
    <row r="5">
      <c r="A5" s="12" t="inlineStr">
        <is>
          <t>Counties in Georgia</t>
        </is>
      </c>
      <c r="B5" s="13" t="n">
        <v>159</v>
      </c>
    </row>
    <row r="6">
      <c r="A6" s="12" t="inlineStr">
        <is>
          <t>Counties with a target set</t>
        </is>
      </c>
      <c r="B6" s="13">
        <f>$B$5-COUNTIF(Counties!$V$2:$V$160,"Not started")</f>
        <v/>
      </c>
    </row>
    <row r="7">
      <c r="A7" s="12" t="inlineStr">
        <is>
          <t>Counties fully complete</t>
        </is>
      </c>
      <c r="B7" s="13">
        <f>COUNTIF(Counties!$V$2:$V$160,"OK")</f>
        <v/>
      </c>
    </row>
    <row r="8">
      <c r="A8" s="12" t="inlineStr">
        <is>
          <t>Draft - needs EDA verification</t>
        </is>
      </c>
      <c r="B8" s="13">
        <f>COUNTIF(Counties!$V$2:$V$160,"Draft - verify with EDA")</f>
        <v/>
      </c>
    </row>
    <row r="9">
      <c r="A9" s="12" t="inlineStr">
        <is>
          <t>Not started</t>
        </is>
      </c>
      <c r="B9" s="13">
        <f>COUNTIF(Counties!$V$2:$V$160,"Not started")</f>
        <v/>
      </c>
    </row>
    <row r="10">
      <c r="A10" s="12" t="inlineStr">
        <is>
          <t>Missing a source</t>
        </is>
      </c>
      <c r="B10" s="13">
        <f>COUNTIF(Counties!$V$2:$V$160,"Missing source")</f>
        <v/>
      </c>
    </row>
    <row r="11">
      <c r="A11" s="12" t="inlineStr">
        <is>
          <t>High confidence</t>
        </is>
      </c>
      <c r="B11" s="13">
        <f>COUNTIF(Counties!$P$2:$P$160,"High")</f>
        <v/>
      </c>
    </row>
    <row r="12">
      <c r="A12" s="12" t="inlineStr">
        <is>
          <t>Low confidence - ask the EDA</t>
        </is>
      </c>
      <c r="B12" s="13">
        <f>COUNTIF(Counties!$P$2:$P$160,"Low")</f>
        <v/>
      </c>
    </row>
    <row r="13">
      <c r="A13" s="12" t="inlineStr">
        <is>
          <t>Percent complete</t>
        </is>
      </c>
      <c r="B13" s="14">
        <f>$B$7/$B$5</f>
        <v/>
      </c>
    </row>
    <row r="15">
      <c r="A15" s="4" t="inlineStr">
        <is>
          <t>Counties naming each industry as a target</t>
        </is>
      </c>
    </row>
    <row r="16">
      <c r="A16" s="15" t="inlineStr">
        <is>
          <t>Industry</t>
        </is>
      </c>
      <c r="B16" s="15" t="inlineStr">
        <is>
          <t>As #1</t>
        </is>
      </c>
      <c r="C16" s="15" t="inlineStr">
        <is>
          <t>Any rank</t>
        </is>
      </c>
    </row>
    <row r="17">
      <c r="A17" s="12" t="inlineStr">
        <is>
          <t>Advanced Manufacturing</t>
        </is>
      </c>
      <c r="B17" s="16">
        <f>COUNTIF(Counties!$G$2:$G$160,$A17)</f>
        <v/>
      </c>
      <c r="C17" s="16">
        <f>COUNTIF(Counties!$G$2:$G$160,$A17)+COUNTIF(Counties!$I$2:$I$160,$A17)+COUNTIF(Counties!$K$2:$K$160,$A17)</f>
        <v/>
      </c>
    </row>
    <row r="18">
      <c r="A18" s="12" t="inlineStr">
        <is>
          <t>Healthcare</t>
        </is>
      </c>
      <c r="B18" s="16">
        <f>COUNTIF(Counties!$G$2:$G$160,$A18)</f>
        <v/>
      </c>
      <c r="C18" s="16">
        <f>COUNTIF(Counties!$G$2:$G$160,$A18)+COUNTIF(Counties!$I$2:$I$160,$A18)+COUNTIF(Counties!$K$2:$K$160,$A18)</f>
        <v/>
      </c>
    </row>
    <row r="19">
      <c r="A19" s="12" t="inlineStr">
        <is>
          <t>Bio &amp; Life Sciences</t>
        </is>
      </c>
      <c r="B19" s="16">
        <f>COUNTIF(Counties!$G$2:$G$160,$A19)</f>
        <v/>
      </c>
      <c r="C19" s="16">
        <f>COUNTIF(Counties!$G$2:$G$160,$A19)+COUNTIF(Counties!$I$2:$I$160,$A19)+COUNTIF(Counties!$K$2:$K$160,$A19)</f>
        <v/>
      </c>
    </row>
    <row r="20">
      <c r="A20" s="12" t="inlineStr">
        <is>
          <t>Professional Services &amp; HQ</t>
        </is>
      </c>
      <c r="B20" s="16">
        <f>COUNTIF(Counties!$G$2:$G$160,$A20)</f>
        <v/>
      </c>
      <c r="C20" s="16">
        <f>COUNTIF(Counties!$G$2:$G$160,$A20)+COUNTIF(Counties!$I$2:$I$160,$A20)+COUNTIF(Counties!$K$2:$K$160,$A20)</f>
        <v/>
      </c>
    </row>
    <row r="21">
      <c r="A21" s="12" t="inlineStr">
        <is>
          <t>Technology &amp; IT</t>
        </is>
      </c>
      <c r="B21" s="16">
        <f>COUNTIF(Counties!$G$2:$G$160,$A21)</f>
        <v/>
      </c>
      <c r="C21" s="16">
        <f>COUNTIF(Counties!$G$2:$G$160,$A21)+COUNTIF(Counties!$I$2:$I$160,$A21)+COUNTIF(Counties!$K$2:$K$160,$A21)</f>
        <v/>
      </c>
    </row>
    <row r="23">
      <c r="A23" s="4" t="inlineStr">
        <is>
          <t>By region</t>
        </is>
      </c>
    </row>
    <row r="24">
      <c r="A24" s="12" t="inlineStr">
        <is>
          <t>1 - Northwest Georgia</t>
        </is>
      </c>
      <c r="B24" s="16">
        <f>COUNTIF(Counties!$E$2:$E$160,$A24)</f>
        <v/>
      </c>
    </row>
    <row r="25">
      <c r="A25" s="12" t="inlineStr">
        <is>
          <t>2 - Georgia Mountains</t>
        </is>
      </c>
      <c r="B25" s="16">
        <f>COUNTIF(Counties!$E$2:$E$160,$A25)</f>
        <v/>
      </c>
    </row>
    <row r="26">
      <c r="A26" s="12" t="inlineStr">
        <is>
          <t>3 - Atlanta Regional</t>
        </is>
      </c>
      <c r="B26" s="16">
        <f>COUNTIF(Counties!$E$2:$E$160,$A26)</f>
        <v/>
      </c>
    </row>
    <row r="27">
      <c r="A27" s="12" t="inlineStr">
        <is>
          <t>4 - Three Rivers</t>
        </is>
      </c>
      <c r="B27" s="16">
        <f>COUNTIF(Counties!$E$2:$E$160,$A27)</f>
        <v/>
      </c>
    </row>
    <row r="28">
      <c r="A28" s="12" t="inlineStr">
        <is>
          <t>5 - Northeast Georgia</t>
        </is>
      </c>
      <c r="B28" s="16">
        <f>COUNTIF(Counties!$E$2:$E$160,$A28)</f>
        <v/>
      </c>
    </row>
    <row r="29">
      <c r="A29" s="12" t="inlineStr">
        <is>
          <t>6 - Middle Georgia</t>
        </is>
      </c>
      <c r="B29" s="16">
        <f>COUNTIF(Counties!$E$2:$E$160,$A29)</f>
        <v/>
      </c>
    </row>
    <row r="30">
      <c r="A30" s="12" t="inlineStr">
        <is>
          <t>7 - Central Savannah River</t>
        </is>
      </c>
      <c r="B30" s="16">
        <f>COUNTIF(Counties!$E$2:$E$160,$A30)</f>
        <v/>
      </c>
    </row>
    <row r="31">
      <c r="A31" s="12" t="inlineStr">
        <is>
          <t>8 - River Valley</t>
        </is>
      </c>
      <c r="B31" s="16">
        <f>COUNTIF(Counties!$E$2:$E$160,$A31)</f>
        <v/>
      </c>
    </row>
    <row r="32">
      <c r="A32" s="12" t="inlineStr">
        <is>
          <t>9 - Heart of Georgia Altamaha</t>
        </is>
      </c>
      <c r="B32" s="16">
        <f>COUNTIF(Counties!$E$2:$E$160,$A32)</f>
        <v/>
      </c>
    </row>
    <row r="33">
      <c r="A33" s="12" t="inlineStr">
        <is>
          <t>10 - Southwest Georgia</t>
        </is>
      </c>
      <c r="B33" s="16">
        <f>COUNTIF(Counties!$E$2:$E$160,$A33)</f>
        <v/>
      </c>
    </row>
    <row r="34">
      <c r="A34" s="12" t="inlineStr">
        <is>
          <t>11 - Southern Georgia</t>
        </is>
      </c>
      <c r="B34" s="16">
        <f>COUNTIF(Counties!$E$2:$E$160,$A34)</f>
        <v/>
      </c>
    </row>
    <row r="35">
      <c r="A35" s="12" t="inlineStr">
        <is>
          <t>12 - Coastal Georgia</t>
        </is>
      </c>
      <c r="B35" s="16">
        <f>COUNTIF(Counties!$E$2:$E$160,$A35)</f>
        <v/>
      </c>
    </row>
  </sheetData>
  <pageMargins left="0.75" right="0.75" top="1" bottom="1" header="0.5" footer="0.5"/>
</worksheet>
</file>

<file path=xl/worksheets/sheet4.xml><?xml version="1.0" encoding="utf-8"?>
<worksheet xmlns="http://schemas.openxmlformats.org/spreadsheetml/2006/main">
  <sheetPr>
    <tabColor rgb="008A939E"/>
    <outlinePr summaryBelow="1" summaryRight="1"/>
    <pageSetUpPr/>
  </sheetPr>
  <dimension ref="A1:J52"/>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 width="28" customWidth="1" min="3" max="3"/>
    <col width="14" customWidth="1" min="4" max="4"/>
    <col width="11" customWidth="1" min="5" max="5"/>
    <col width="17" customWidth="1" min="6" max="6"/>
    <col width="12" customWidth="1" min="7" max="7"/>
    <col width="11" customWidth="1" min="8" max="8"/>
    <col width="26" customWidth="1" min="9" max="9"/>
    <col width="38" customWidth="1" min="10" max="10"/>
  </cols>
  <sheetData>
    <row r="1" ht="22" customHeight="1">
      <c r="A1" s="10" t="inlineStr">
        <is>
          <t>Reference lists</t>
        </is>
      </c>
    </row>
    <row r="2" ht="18" customHeight="1">
      <c r="A2" s="11" t="inlineStr">
        <is>
          <t>Dropdown sources. Add rows at the bottom of a list to extend it; do not reorder or delete columns.</t>
        </is>
      </c>
    </row>
    <row r="4" ht="34" customHeight="1">
      <c r="A4" s="5" t="inlineStr">
        <is>
          <t>Industry</t>
        </is>
      </c>
      <c r="B4" s="5" t="inlineStr">
        <is>
          <t>Sub-sector</t>
        </is>
      </c>
      <c r="C4" s="5" t="inlineStr">
        <is>
          <t>Credential type</t>
        </is>
      </c>
      <c r="D4" s="5" t="inlineStr">
        <is>
          <t>Delivery mode</t>
        </is>
      </c>
      <c r="E4" s="5" t="inlineStr">
        <is>
          <t>Yes/No</t>
        </is>
      </c>
      <c r="F4" s="5" t="inlineStr">
        <is>
          <t>Status</t>
        </is>
      </c>
      <c r="G4" s="5" t="inlineStr">
        <is>
          <t>Confidence</t>
        </is>
      </c>
      <c r="H4" s="5" t="inlineStr">
        <is>
          <t>System</t>
        </is>
      </c>
      <c r="I4" s="5" t="inlineStr">
        <is>
          <t>Region</t>
        </is>
      </c>
      <c r="J4" s="5" t="inlineStr">
        <is>
          <t>Institution</t>
        </is>
      </c>
    </row>
    <row r="5">
      <c r="A5" s="12" t="inlineStr">
        <is>
          <t>Advanced Manufacturing</t>
        </is>
      </c>
      <c r="B5" s="12" t="inlineStr">
        <is>
          <t>Automotive &amp; EV</t>
        </is>
      </c>
      <c r="C5" s="12" t="inlineStr">
        <is>
          <t>Technical Certificate of Credit</t>
        </is>
      </c>
      <c r="D5" s="12" t="inlineStr">
        <is>
          <t>In person</t>
        </is>
      </c>
      <c r="E5" s="12" t="inlineStr">
        <is>
          <t>Yes</t>
        </is>
      </c>
      <c r="F5" s="12" t="inlineStr">
        <is>
          <t>Example</t>
        </is>
      </c>
      <c r="G5" s="12" t="inlineStr">
        <is>
          <t>High</t>
        </is>
      </c>
      <c r="H5" s="12" t="inlineStr">
        <is>
          <t>TCSG</t>
        </is>
      </c>
      <c r="I5" s="12" t="inlineStr">
        <is>
          <t>1 - Northwest Georgia</t>
        </is>
      </c>
      <c r="J5" s="12" t="inlineStr">
        <is>
          <t>Albany Technical College</t>
        </is>
      </c>
    </row>
    <row r="6">
      <c r="A6" s="12" t="inlineStr">
        <is>
          <t>Healthcare</t>
        </is>
      </c>
      <c r="B6" s="12" t="inlineStr">
        <is>
          <t>Aerospace &amp; Defense</t>
        </is>
      </c>
      <c r="C6" s="12" t="inlineStr">
        <is>
          <t>Diploma</t>
        </is>
      </c>
      <c r="D6" s="12" t="inlineStr">
        <is>
          <t>Hybrid</t>
        </is>
      </c>
      <c r="E6" s="12" t="inlineStr">
        <is>
          <t>No</t>
        </is>
      </c>
      <c r="F6" s="12" t="inlineStr">
        <is>
          <t>Draft</t>
        </is>
      </c>
      <c r="G6" s="12" t="inlineStr">
        <is>
          <t>Medium</t>
        </is>
      </c>
      <c r="H6" s="12" t="inlineStr">
        <is>
          <t>USG</t>
        </is>
      </c>
      <c r="I6" s="12" t="inlineStr">
        <is>
          <t>2 - Georgia Mountains</t>
        </is>
      </c>
      <c r="J6" s="12" t="inlineStr">
        <is>
          <t>Athens Technical College</t>
        </is>
      </c>
    </row>
    <row r="7">
      <c r="A7" s="12" t="inlineStr">
        <is>
          <t>Bio &amp; Life Sciences</t>
        </is>
      </c>
      <c r="B7" s="12" t="inlineStr">
        <is>
          <t>Food &amp; Beverage Processing</t>
        </is>
      </c>
      <c r="C7" s="12" t="inlineStr">
        <is>
          <t>Associate</t>
        </is>
      </c>
      <c r="D7" s="12" t="inlineStr">
        <is>
          <t>Online</t>
        </is>
      </c>
      <c r="E7" s="12" t="inlineStr">
        <is>
          <t>Unknown</t>
        </is>
      </c>
      <c r="F7" s="12" t="inlineStr">
        <is>
          <t>Needs review</t>
        </is>
      </c>
      <c r="G7" s="12" t="inlineStr">
        <is>
          <t>Low</t>
        </is>
      </c>
      <c r="H7" s="12" t="inlineStr">
        <is>
          <t>Private</t>
        </is>
      </c>
      <c r="I7" s="12" t="inlineStr">
        <is>
          <t>3 - Atlanta Regional</t>
        </is>
      </c>
      <c r="J7" s="12" t="inlineStr">
        <is>
          <t>Atlanta Technical College</t>
        </is>
      </c>
    </row>
    <row r="8">
      <c r="A8" s="12" t="inlineStr">
        <is>
          <t>Professional Services &amp; HQ</t>
        </is>
      </c>
      <c r="B8" s="12" t="inlineStr">
        <is>
          <t>Industrial Machinery</t>
        </is>
      </c>
      <c r="C8" s="12" t="inlineStr">
        <is>
          <t>Bachelor's</t>
        </is>
      </c>
      <c r="F8" s="12" t="inlineStr">
        <is>
          <t>Ready for import</t>
        </is>
      </c>
      <c r="H8" s="12" t="inlineStr">
        <is>
          <t>Other</t>
        </is>
      </c>
      <c r="I8" s="12" t="inlineStr">
        <is>
          <t>4 - Three Rivers</t>
        </is>
      </c>
      <c r="J8" s="12" t="inlineStr">
        <is>
          <t>Augusta Technical College</t>
        </is>
      </c>
    </row>
    <row r="9">
      <c r="A9" s="12" t="inlineStr">
        <is>
          <t>Technology &amp; IT</t>
        </is>
      </c>
      <c r="B9" s="12" t="inlineStr">
        <is>
          <t>Textiles &amp; Flooring</t>
        </is>
      </c>
      <c r="C9" s="12" t="inlineStr">
        <is>
          <t>Master's</t>
        </is>
      </c>
      <c r="I9" s="12" t="inlineStr">
        <is>
          <t>5 - Northeast Georgia</t>
        </is>
      </c>
      <c r="J9" s="12" t="inlineStr">
        <is>
          <t>Central Georgia Technical College</t>
        </is>
      </c>
    </row>
    <row r="10">
      <c r="B10" s="12" t="inlineStr">
        <is>
          <t>Forest Products &amp; Packaging</t>
        </is>
      </c>
      <c r="C10" s="12" t="inlineStr">
        <is>
          <t>Apprenticeship</t>
        </is>
      </c>
      <c r="I10" s="12" t="inlineStr">
        <is>
          <t>6 - Middle Georgia</t>
        </is>
      </c>
      <c r="J10" s="12" t="inlineStr">
        <is>
          <t>Chattahoochee Technical College</t>
        </is>
      </c>
    </row>
    <row r="11">
      <c r="B11" s="12" t="inlineStr">
        <is>
          <t>Metals &amp; Fabrication</t>
        </is>
      </c>
      <c r="C11" s="12" t="inlineStr">
        <is>
          <t>Non-credit / Continuing Ed</t>
        </is>
      </c>
      <c r="I11" s="12" t="inlineStr">
        <is>
          <t>7 - Central Savannah River</t>
        </is>
      </c>
      <c r="J11" s="12" t="inlineStr">
        <is>
          <t>Coastal Pines Technical College</t>
        </is>
      </c>
    </row>
    <row r="12">
      <c r="B12" s="12" t="inlineStr">
        <is>
          <t>Hospitals &amp; Health Systems</t>
        </is>
      </c>
      <c r="I12" s="12" t="inlineStr">
        <is>
          <t>8 - River Valley</t>
        </is>
      </c>
      <c r="J12" s="12" t="inlineStr">
        <is>
          <t>Columbus Technical College</t>
        </is>
      </c>
    </row>
    <row r="13">
      <c r="B13" s="12" t="inlineStr">
        <is>
          <t>Allied Health</t>
        </is>
      </c>
      <c r="I13" s="12" t="inlineStr">
        <is>
          <t>9 - Heart of Georgia Altamaha</t>
        </is>
      </c>
      <c r="J13" s="12" t="inlineStr">
        <is>
          <t>Georgia Northwestern Technical College</t>
        </is>
      </c>
    </row>
    <row r="14">
      <c r="B14" s="12" t="inlineStr">
        <is>
          <t>Nursing</t>
        </is>
      </c>
      <c r="I14" s="12" t="inlineStr">
        <is>
          <t>10 - Southwest Georgia</t>
        </is>
      </c>
      <c r="J14" s="12" t="inlineStr">
        <is>
          <t>Georgia Piedmont Technical College</t>
        </is>
      </c>
    </row>
    <row r="15">
      <c r="B15" s="12" t="inlineStr">
        <is>
          <t>Long-Term &amp; Senior Care</t>
        </is>
      </c>
      <c r="I15" s="12" t="inlineStr">
        <is>
          <t>11 - Southern Georgia</t>
        </is>
      </c>
      <c r="J15" s="12" t="inlineStr">
        <is>
          <t>Gwinnett Technical College</t>
        </is>
      </c>
    </row>
    <row r="16">
      <c r="B16" s="12" t="inlineStr">
        <is>
          <t>Behavioral Health</t>
        </is>
      </c>
      <c r="I16" s="12" t="inlineStr">
        <is>
          <t>12 - Coastal Georgia</t>
        </is>
      </c>
      <c r="J16" s="12" t="inlineStr">
        <is>
          <t>Lanier Technical College</t>
        </is>
      </c>
    </row>
    <row r="17">
      <c r="B17" s="12" t="inlineStr">
        <is>
          <t>Pharmaceutical Manufacturing</t>
        </is>
      </c>
      <c r="J17" s="12" t="inlineStr">
        <is>
          <t>North Georgia Technical College</t>
        </is>
      </c>
    </row>
    <row r="18">
      <c r="B18" s="12" t="inlineStr">
        <is>
          <t>Medical Devices</t>
        </is>
      </c>
      <c r="J18" s="12" t="inlineStr">
        <is>
          <t>Oconee Fall Line Technical College</t>
        </is>
      </c>
    </row>
    <row r="19">
      <c r="B19" s="12" t="inlineStr">
        <is>
          <t>Agricultural Biotechnology</t>
        </is>
      </c>
      <c r="J19" s="12" t="inlineStr">
        <is>
          <t>Ogeechee Technical College</t>
        </is>
      </c>
    </row>
    <row r="20">
      <c r="B20" s="12" t="inlineStr">
        <is>
          <t>Animal Health</t>
        </is>
      </c>
      <c r="J20" s="12" t="inlineStr">
        <is>
          <t>Savannah Technical College</t>
        </is>
      </c>
    </row>
    <row r="21">
      <c r="B21" s="12" t="inlineStr">
        <is>
          <t>Clinical Research &amp; Labs</t>
        </is>
      </c>
      <c r="J21" s="12" t="inlineStr">
        <is>
          <t>South Georgia Technical College</t>
        </is>
      </c>
    </row>
    <row r="22">
      <c r="B22" s="12" t="inlineStr">
        <is>
          <t>Corporate Headquarters</t>
        </is>
      </c>
      <c r="J22" s="12" t="inlineStr">
        <is>
          <t>Southeastern Technical College</t>
        </is>
      </c>
    </row>
    <row r="23">
      <c r="B23" s="12" t="inlineStr">
        <is>
          <t>Finance &amp; Insurance</t>
        </is>
      </c>
      <c r="J23" s="12" t="inlineStr">
        <is>
          <t>Southern Crescent Technical College</t>
        </is>
      </c>
    </row>
    <row r="24">
      <c r="B24" s="12" t="inlineStr">
        <is>
          <t>Accounting &amp; Legal</t>
        </is>
      </c>
      <c r="J24" s="12" t="inlineStr">
        <is>
          <t>Southern Regional Technical College</t>
        </is>
      </c>
    </row>
    <row r="25">
      <c r="B25" s="12" t="inlineStr">
        <is>
          <t>Engineering &amp; Design</t>
        </is>
      </c>
      <c r="J25" s="12" t="inlineStr">
        <is>
          <t>West Georgia Technical College</t>
        </is>
      </c>
    </row>
    <row r="26">
      <c r="B26" s="12" t="inlineStr">
        <is>
          <t>Logistics &amp; Supply Chain Management</t>
        </is>
      </c>
      <c r="J26" s="12" t="inlineStr">
        <is>
          <t>Wiregrass Georgia Technical College</t>
        </is>
      </c>
    </row>
    <row r="27">
      <c r="B27" s="12" t="inlineStr">
        <is>
          <t>Software Development</t>
        </is>
      </c>
      <c r="J27" s="12" t="inlineStr">
        <is>
          <t>Augusta University</t>
        </is>
      </c>
    </row>
    <row r="28">
      <c r="B28" s="12" t="inlineStr">
        <is>
          <t>Cybersecurity</t>
        </is>
      </c>
      <c r="J28" s="12" t="inlineStr">
        <is>
          <t>Georgia Institute of Technology</t>
        </is>
      </c>
    </row>
    <row r="29">
      <c r="B29" s="12" t="inlineStr">
        <is>
          <t>Data Centers</t>
        </is>
      </c>
      <c r="J29" s="12" t="inlineStr">
        <is>
          <t>Georgia State University</t>
        </is>
      </c>
    </row>
    <row r="30">
      <c r="B30" s="12" t="inlineStr">
        <is>
          <t>Fintech &amp; Payments</t>
        </is>
      </c>
      <c r="J30" s="12" t="inlineStr">
        <is>
          <t>University of Georgia</t>
        </is>
      </c>
    </row>
    <row r="31">
      <c r="B31" s="12" t="inlineStr">
        <is>
          <t>IT Support &amp; Networking</t>
        </is>
      </c>
      <c r="J31" s="12" t="inlineStr">
        <is>
          <t>Georgia Southern University</t>
        </is>
      </c>
    </row>
    <row r="32">
      <c r="J32" s="12" t="inlineStr">
        <is>
          <t>Kennesaw State University</t>
        </is>
      </c>
    </row>
    <row r="33">
      <c r="J33" s="12" t="inlineStr">
        <is>
          <t>University of West Georgia</t>
        </is>
      </c>
    </row>
    <row r="34">
      <c r="J34" s="12" t="inlineStr">
        <is>
          <t>Valdosta State University</t>
        </is>
      </c>
    </row>
    <row r="35">
      <c r="J35" s="12" t="inlineStr">
        <is>
          <t>Albany State University</t>
        </is>
      </c>
    </row>
    <row r="36">
      <c r="J36" s="12" t="inlineStr">
        <is>
          <t>Clayton State University</t>
        </is>
      </c>
    </row>
    <row r="37">
      <c r="J37" s="12" t="inlineStr">
        <is>
          <t>Columbus State University</t>
        </is>
      </c>
    </row>
    <row r="38">
      <c r="J38" s="12" t="inlineStr">
        <is>
          <t>Fort Valley State University</t>
        </is>
      </c>
    </row>
    <row r="39">
      <c r="J39" s="12" t="inlineStr">
        <is>
          <t>Georgia College &amp; State University</t>
        </is>
      </c>
    </row>
    <row r="40">
      <c r="J40" s="12" t="inlineStr">
        <is>
          <t>Georgia Southwestern State University</t>
        </is>
      </c>
    </row>
    <row r="41">
      <c r="J41" s="12" t="inlineStr">
        <is>
          <t>Middle Georgia State University</t>
        </is>
      </c>
    </row>
    <row r="42">
      <c r="J42" s="12" t="inlineStr">
        <is>
          <t>Savannah State University</t>
        </is>
      </c>
    </row>
    <row r="43">
      <c r="J43" s="12" t="inlineStr">
        <is>
          <t>University of North Georgia</t>
        </is>
      </c>
    </row>
    <row r="44">
      <c r="J44" s="12" t="inlineStr">
        <is>
          <t>Abraham Baldwin Agricultural College</t>
        </is>
      </c>
    </row>
    <row r="45">
      <c r="J45" s="12" t="inlineStr">
        <is>
          <t>Atlanta Metropolitan State College</t>
        </is>
      </c>
    </row>
    <row r="46">
      <c r="J46" s="12" t="inlineStr">
        <is>
          <t>College of Coastal Georgia</t>
        </is>
      </c>
    </row>
    <row r="47">
      <c r="J47" s="12" t="inlineStr">
        <is>
          <t>Dalton State College</t>
        </is>
      </c>
    </row>
    <row r="48">
      <c r="J48" s="12" t="inlineStr">
        <is>
          <t>East Georgia State College</t>
        </is>
      </c>
    </row>
    <row r="49">
      <c r="J49" s="12" t="inlineStr">
        <is>
          <t>Georgia Gwinnett College</t>
        </is>
      </c>
    </row>
    <row r="50">
      <c r="J50" s="12" t="inlineStr">
        <is>
          <t>Georgia Highlands College</t>
        </is>
      </c>
    </row>
    <row r="51">
      <c r="J51" s="12" t="inlineStr">
        <is>
          <t>Gordon State College</t>
        </is>
      </c>
    </row>
    <row r="52">
      <c r="J52" s="12" t="inlineStr">
        <is>
          <t>South Georgia State College</t>
        </is>
      </c>
    </row>
  </sheetData>
  <pageMargins left="0.75" right="0.75" top="1" bottom="1" header="0.5" footer="0.5"/>
</worksheet>
</file>

<file path=xl/worksheets/sheet5.xml><?xml version="1.0" encoding="utf-8"?>
<worksheet xmlns="http://schemas.openxmlformats.org/spreadsheetml/2006/main">
  <sheetPr>
    <tabColor rgb="008A939E"/>
    <outlinePr summaryBelow="1" summaryRight="1"/>
    <pageSetUpPr/>
  </sheetPr>
  <dimension ref="A1:B31"/>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s>
  <sheetData>
    <row r="1" ht="22" customHeight="1">
      <c r="A1" s="10" t="inlineStr">
        <is>
          <t>Sub-sector map</t>
        </is>
      </c>
    </row>
    <row r="2" ht="18" customHeight="1">
      <c r="A2" s="11" t="inlineStr">
        <is>
          <t>Which industry each sub-sector belongs to. Use this when filling the sub-sector columns.</t>
        </is>
      </c>
    </row>
    <row r="4" ht="34" customHeight="1">
      <c r="A4" s="5" t="inlineStr">
        <is>
          <t>Industry</t>
        </is>
      </c>
      <c r="B4" s="5" t="inlineStr">
        <is>
          <t>Sub-sector</t>
        </is>
      </c>
    </row>
    <row r="5">
      <c r="A5" s="12" t="inlineStr">
        <is>
          <t>Advanced Manufacturing</t>
        </is>
      </c>
      <c r="B5" s="12" t="inlineStr">
        <is>
          <t>Automotive &amp; EV</t>
        </is>
      </c>
    </row>
    <row r="6">
      <c r="A6" s="12" t="inlineStr">
        <is>
          <t>Advanced Manufacturing</t>
        </is>
      </c>
      <c r="B6" s="12" t="inlineStr">
        <is>
          <t>Aerospace &amp; Defense</t>
        </is>
      </c>
    </row>
    <row r="7">
      <c r="A7" s="12" t="inlineStr">
        <is>
          <t>Advanced Manufacturing</t>
        </is>
      </c>
      <c r="B7" s="12" t="inlineStr">
        <is>
          <t>Food &amp; Beverage Processing</t>
        </is>
      </c>
    </row>
    <row r="8">
      <c r="A8" s="12" t="inlineStr">
        <is>
          <t>Advanced Manufacturing</t>
        </is>
      </c>
      <c r="B8" s="12" t="inlineStr">
        <is>
          <t>Industrial Machinery</t>
        </is>
      </c>
    </row>
    <row r="9">
      <c r="A9" s="12" t="inlineStr">
        <is>
          <t>Advanced Manufacturing</t>
        </is>
      </c>
      <c r="B9" s="12" t="inlineStr">
        <is>
          <t>Textiles &amp; Flooring</t>
        </is>
      </c>
    </row>
    <row r="10">
      <c r="A10" s="12" t="inlineStr">
        <is>
          <t>Advanced Manufacturing</t>
        </is>
      </c>
      <c r="B10" s="12" t="inlineStr">
        <is>
          <t>Forest Products &amp; Packaging</t>
        </is>
      </c>
    </row>
    <row r="11">
      <c r="A11" s="12" t="inlineStr">
        <is>
          <t>Advanced Manufacturing</t>
        </is>
      </c>
      <c r="B11" s="12" t="inlineStr">
        <is>
          <t>Metals &amp; Fabrication</t>
        </is>
      </c>
    </row>
    <row r="12">
      <c r="A12" s="12" t="inlineStr">
        <is>
          <t>Healthcare</t>
        </is>
      </c>
      <c r="B12" s="12" t="inlineStr">
        <is>
          <t>Hospitals &amp; Health Systems</t>
        </is>
      </c>
    </row>
    <row r="13">
      <c r="A13" s="12" t="inlineStr">
        <is>
          <t>Healthcare</t>
        </is>
      </c>
      <c r="B13" s="12" t="inlineStr">
        <is>
          <t>Allied Health</t>
        </is>
      </c>
    </row>
    <row r="14">
      <c r="A14" s="12" t="inlineStr">
        <is>
          <t>Healthcare</t>
        </is>
      </c>
      <c r="B14" s="12" t="inlineStr">
        <is>
          <t>Nursing</t>
        </is>
      </c>
    </row>
    <row r="15">
      <c r="A15" s="12" t="inlineStr">
        <is>
          <t>Healthcare</t>
        </is>
      </c>
      <c r="B15" s="12" t="inlineStr">
        <is>
          <t>Long-Term &amp; Senior Care</t>
        </is>
      </c>
    </row>
    <row r="16">
      <c r="A16" s="12" t="inlineStr">
        <is>
          <t>Healthcare</t>
        </is>
      </c>
      <c r="B16" s="12" t="inlineStr">
        <is>
          <t>Behavioral Health</t>
        </is>
      </c>
    </row>
    <row r="17">
      <c r="A17" s="12" t="inlineStr">
        <is>
          <t>Bio &amp; Life Sciences</t>
        </is>
      </c>
      <c r="B17" s="12" t="inlineStr">
        <is>
          <t>Pharmaceutical Manufacturing</t>
        </is>
      </c>
    </row>
    <row r="18">
      <c r="A18" s="12" t="inlineStr">
        <is>
          <t>Bio &amp; Life Sciences</t>
        </is>
      </c>
      <c r="B18" s="12" t="inlineStr">
        <is>
          <t>Medical Devices</t>
        </is>
      </c>
    </row>
    <row r="19">
      <c r="A19" s="12" t="inlineStr">
        <is>
          <t>Bio &amp; Life Sciences</t>
        </is>
      </c>
      <c r="B19" s="12" t="inlineStr">
        <is>
          <t>Agricultural Biotechnology</t>
        </is>
      </c>
    </row>
    <row r="20">
      <c r="A20" s="12" t="inlineStr">
        <is>
          <t>Bio &amp; Life Sciences</t>
        </is>
      </c>
      <c r="B20" s="12" t="inlineStr">
        <is>
          <t>Animal Health</t>
        </is>
      </c>
    </row>
    <row r="21">
      <c r="A21" s="12" t="inlineStr">
        <is>
          <t>Bio &amp; Life Sciences</t>
        </is>
      </c>
      <c r="B21" s="12" t="inlineStr">
        <is>
          <t>Clinical Research &amp; Labs</t>
        </is>
      </c>
    </row>
    <row r="22">
      <c r="A22" s="12" t="inlineStr">
        <is>
          <t>Professional Services &amp; HQ</t>
        </is>
      </c>
      <c r="B22" s="12" t="inlineStr">
        <is>
          <t>Corporate Headquarters</t>
        </is>
      </c>
    </row>
    <row r="23">
      <c r="A23" s="12" t="inlineStr">
        <is>
          <t>Professional Services &amp; HQ</t>
        </is>
      </c>
      <c r="B23" s="12" t="inlineStr">
        <is>
          <t>Finance &amp; Insurance</t>
        </is>
      </c>
    </row>
    <row r="24">
      <c r="A24" s="12" t="inlineStr">
        <is>
          <t>Professional Services &amp; HQ</t>
        </is>
      </c>
      <c r="B24" s="12" t="inlineStr">
        <is>
          <t>Accounting &amp; Legal</t>
        </is>
      </c>
    </row>
    <row r="25">
      <c r="A25" s="12" t="inlineStr">
        <is>
          <t>Professional Services &amp; HQ</t>
        </is>
      </c>
      <c r="B25" s="12" t="inlineStr">
        <is>
          <t>Engineering &amp; Design</t>
        </is>
      </c>
    </row>
    <row r="26">
      <c r="A26" s="12" t="inlineStr">
        <is>
          <t>Professional Services &amp; HQ</t>
        </is>
      </c>
      <c r="B26" s="12" t="inlineStr">
        <is>
          <t>Logistics &amp; Supply Chain Management</t>
        </is>
      </c>
    </row>
    <row r="27">
      <c r="A27" s="12" t="inlineStr">
        <is>
          <t>Technology &amp; IT</t>
        </is>
      </c>
      <c r="B27" s="12" t="inlineStr">
        <is>
          <t>Software Development</t>
        </is>
      </c>
    </row>
    <row r="28">
      <c r="A28" s="12" t="inlineStr">
        <is>
          <t>Technology &amp; IT</t>
        </is>
      </c>
      <c r="B28" s="12" t="inlineStr">
        <is>
          <t>Cybersecurity</t>
        </is>
      </c>
    </row>
    <row r="29">
      <c r="A29" s="12" t="inlineStr">
        <is>
          <t>Technology &amp; IT</t>
        </is>
      </c>
      <c r="B29" s="12" t="inlineStr">
        <is>
          <t>Data Centers</t>
        </is>
      </c>
    </row>
    <row r="30">
      <c r="A30" s="12" t="inlineStr">
        <is>
          <t>Technology &amp; IT</t>
        </is>
      </c>
      <c r="B30" s="12" t="inlineStr">
        <is>
          <t>Fintech &amp; Payments</t>
        </is>
      </c>
    </row>
    <row r="31">
      <c r="A31" s="12" t="inlineStr">
        <is>
          <t>Technology &amp; IT</t>
        </is>
      </c>
      <c r="B31" s="12" t="inlineStr">
        <is>
          <t>IT Support &amp; Networking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2026-08-31T18:28:23Z</dcterms:created>
  <dcterms:modified xsi:type="dcterms:W3CDTF">2026-08-31T18:28:23Z</dcterms:modified>
</cp:coreProperties>
</file>